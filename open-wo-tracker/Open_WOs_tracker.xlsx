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y" sheetId="1" state="visible" r:id="rId1"/>
    <sheet name="Totals" sheetId="2" state="visible" r:id="rId2"/>
    <sheet name="Read Me" sheetId="3" state="visible" r:id="rId3"/>
  </sheets>
  <definedNames>
    <definedName name="chart_Week" localSheetId="0">INDEX(History!$A$56:$A$165,MAX(1,COUNT(History!$A$56:$A$165)-25)):INDEX(History!$A$56:$A$165,MAX(1,COUNT(History!$A$56:$A$165)))</definedName>
    <definedName name="chart_BVR" localSheetId="0">INDEX(History!$B$56:$B$165,MAX(1,COUNT(History!$A$56:$A$165)-25)):INDEX(History!$B$56:$B$165,MAX(1,COUNT(History!$A$56:$A$165)))</definedName>
    <definedName name="chart_BVP" localSheetId="0">INDEX(History!$C$56:$C$165,MAX(1,COUNT(History!$A$56:$A$165)-25)):INDEX(History!$C$56:$C$165,MAX(1,COUNT(History!$A$56:$A$165)))</definedName>
    <definedName name="chart_BVT" localSheetId="0">INDEX(History!$D$56:$D$165,MAX(1,COUNT(History!$A$56:$A$165)-25)):INDEX(History!$D$56:$D$165,MAX(1,COUNT(History!$A$56:$A$165)))</definedName>
    <definedName name="chart_LVR" localSheetId="0">INDEX(History!$E$56:$E$165,MAX(1,COUNT(History!$A$56:$A$165)-25)):INDEX(History!$E$56:$E$165,MAX(1,COUNT(History!$A$56:$A$165)))</definedName>
    <definedName name="chart_LVP" localSheetId="0">INDEX(History!$F$56:$F$165,MAX(1,COUNT(History!$A$56:$A$165)-25)):INDEX(History!$F$56:$F$165,MAX(1,COUNT(History!$A$56:$A$165)))</definedName>
    <definedName name="chart_LVT" localSheetId="0">INDEX(History!$G$56:$G$165,MAX(1,COUNT(History!$A$56:$A$165)-25)):INDEX(History!$G$56:$G$165,MAX(1,COUNT(History!$A$56:$A$165)))</definedName>
    <definedName name="chart_REPT" localSheetId="0">INDEX(History!$H$56:$H$165,MAX(1,COUNT(History!$A$56:$A$165)-25)):INDEX(History!$H$56:$H$165,MAX(1,COUNT(History!$A$56:$A$165)))</definedName>
    <definedName name="chart_PMT" localSheetId="0">INDEX(History!$I$56:$I$165,MAX(1,COUNT(History!$A$56:$A$165)-25)):INDEX(History!$I$56:$I$165,MAX(1,COUNT(History!$A$56:$A$165)))</definedName>
    <definedName name="chart_CO" localSheetId="0">INDEX(History!$J$56:$J$165,MAX(1,COUNT(History!$A$56:$A$165)-25)):INDEX(History!$J$56:$J$165,MAX(1,COUNT(History!$A$56:$A$165)))</definedName>
    <definedName name="last_BVR" localSheetId="0">IF(History!chart_Week=MAX(History!chart_Week),History!chart_BVR,NA())</definedName>
    <definedName name="last_BVP" localSheetId="0">IF(History!chart_Week=MAX(History!chart_Week),History!chart_BVP,NA())</definedName>
    <definedName name="last_BVT" localSheetId="0">IF(History!chart_Week=MAX(History!chart_Week),History!chart_BVT,NA())</definedName>
    <definedName name="last_LVR" localSheetId="0">IF(History!chart_Week=MAX(History!chart_Week),History!chart_LVR,NA())</definedName>
    <definedName name="last_LVP" localSheetId="0">IF(History!chart_Week=MAX(History!chart_Week),History!chart_LVP,NA())</definedName>
    <definedName name="last_LVT" localSheetId="0">IF(History!chart_Week=MAX(History!chart_Week),History!chart_LVT,NA())</definedName>
    <definedName name="last_REPT" localSheetId="0">IF(History!chart_Week=MAX(History!chart_Week),History!chart_REPT,NA())</definedName>
    <definedName name="last_PMT" localSheetId="0">IF(History!chart_Week=MAX(History!chart_Week),History!chart_PMT,NA())</definedName>
    <definedName name="last_CO" localSheetId="0">IF(History!chart_Week=MAX(History!chart_Week),History!chart_CO,NA())</definedName>
    <definedName name="_xlnm.Print_Area" localSheetId="0">'History'!$A$1:$L$53</definedName>
  </definedNames>
  <calcPr calcId="124519" fullCalcOnLoad="1"/>
</workbook>
</file>

<file path=xl/styles.xml><?xml version="1.0" encoding="utf-8"?>
<styleSheet xmlns="http://schemas.openxmlformats.org/spreadsheetml/2006/main">
  <numFmts count="4">
    <numFmt numFmtId="164" formatCode="yyyy-mm-dd"/>
    <numFmt numFmtId="165" formatCode="dddd, mmmm d, yyyy"/>
    <numFmt numFmtId="166" formatCode="&quot;▲ &quot;#,##0;&quot;▼ &quot;#,##0;&quot;no change&quot;"/>
    <numFmt numFmtId="167" formatCode="mm/dd/yy"/>
  </numFmts>
  <fonts count="20">
    <font>
      <name val="Calibri"/>
      <family val="2"/>
      <color theme="1"/>
      <sz val="11"/>
      <scheme val="minor"/>
    </font>
    <font>
      <name val="Calibri"/>
      <b val="1"/>
      <color rgb="FF6A6A66"/>
      <sz val="10"/>
    </font>
    <font>
      <name val="Calibri"/>
      <b val="1"/>
      <color rgb="FF262626"/>
      <sz val="12"/>
    </font>
    <font>
      <name val="Calibri"/>
      <b val="1"/>
      <color rgb="FF262626"/>
      <sz val="14"/>
    </font>
    <font>
      <name val="Calibri"/>
      <color rgb="FF0000FF"/>
      <sz val="14"/>
    </font>
    <font>
      <name val="Calibri"/>
      <color rgb="FF6A6A66"/>
      <sz val="12"/>
    </font>
    <font>
      <name val="Calibri"/>
      <i val="1"/>
      <color rgb="FF0000FF"/>
      <sz val="11"/>
    </font>
    <font>
      <name val="Calibri"/>
      <color rgb="FF262626"/>
      <sz val="14"/>
    </font>
    <font>
      <name val="Calibri"/>
      <color rgb="FF6A6A66"/>
      <sz val="11"/>
    </font>
    <font>
      <name val="Calibri"/>
      <b val="1"/>
      <color rgb="FF0563C1"/>
      <sz val="12"/>
      <u val="single"/>
    </font>
    <font>
      <name val="Calibri"/>
      <b val="1"/>
      <color rgb="FF262626"/>
      <sz val="20"/>
    </font>
    <font>
      <name val="Calibri"/>
      <b val="1"/>
      <color rgb="FF262626"/>
      <sz val="13"/>
    </font>
    <font>
      <name val="Calibri"/>
      <b val="1"/>
      <color rgb="FF9C2B22"/>
      <sz val="11"/>
    </font>
    <font>
      <name val="Calibri"/>
      <b val="1"/>
      <color rgb="FF262626"/>
      <sz val="11"/>
    </font>
    <font>
      <name val="Calibri"/>
      <color rgb="FF262626"/>
      <sz val="11"/>
    </font>
    <font>
      <name val="Calibri"/>
      <i val="1"/>
      <color rgb="FF6A6A66"/>
      <sz val="10"/>
    </font>
    <font>
      <name val="Calibri"/>
      <b val="1"/>
      <color rgb="FF0563C1"/>
      <sz val="11"/>
      <u val="single"/>
    </font>
    <font>
      <name val="Calibri"/>
      <b val="1"/>
      <color rgb="FF6A6A66"/>
      <sz val="11"/>
    </font>
    <font>
      <name val="Calibri"/>
      <b val="1"/>
      <color rgb="FF262626"/>
      <sz val="10"/>
    </font>
    <font>
      <name val="Calibri"/>
      <b val="1"/>
      <color rgb="FF262626"/>
      <sz val="18"/>
    </font>
  </fonts>
  <fills count="10">
    <fill>
      <patternFill/>
    </fill>
    <fill>
      <patternFill patternType="gray125"/>
    </fill>
    <fill>
      <patternFill patternType="solid">
        <fgColor rgb="FFDCE9F8"/>
      </patternFill>
    </fill>
    <fill>
      <patternFill patternType="solid">
        <fgColor rgb="FFFBE3D8"/>
      </patternFill>
    </fill>
    <fill>
      <patternFill patternType="solid">
        <fgColor rgb="FFE8E8E5"/>
      </patternFill>
    </fill>
    <fill>
      <patternFill patternType="solid">
        <fgColor rgb="FFEDEDEA"/>
      </patternFill>
    </fill>
    <fill>
      <patternFill patternType="solid">
        <fgColor rgb="FFE4EDF9"/>
      </patternFill>
    </fill>
    <fill>
      <patternFill patternType="solid">
        <fgColor rgb="FFF2F2EF"/>
      </patternFill>
    </fill>
    <fill>
      <patternFill patternType="solid">
        <fgColor rgb="FFFBFBF9"/>
      </patternFill>
    </fill>
    <fill>
      <patternFill patternType="solid">
        <fgColor rgb="FFFFFF00"/>
      </patternFill>
    </fill>
  </fills>
  <borders count="7">
    <border>
      <left/>
      <right/>
      <top/>
      <bottom/>
      <diagonal/>
    </border>
    <border>
      <left style="thin">
        <color rgb="FFD8D8D4"/>
      </left>
      <right style="thin">
        <color rgb="FFD8D8D4"/>
      </right>
      <top style="thin">
        <color rgb="FFD8D8D4"/>
      </top>
      <bottom style="thin">
        <color rgb="FFD8D8D4"/>
      </bottom>
    </border>
    <border>
      <bottom style="thin">
        <color rgb="FFD8D8D4"/>
      </bottom>
    </border>
    <border>
      <left style="thin">
        <color rgb="FFD8D8D4"/>
      </left>
      <right style="thin">
        <color rgb="FFD8D8D4"/>
      </right>
      <top style="thin">
        <color rgb="FFD8D8D4"/>
      </top>
      <bottom style="double">
        <color rgb="FFD8D8D4"/>
      </bottom>
    </border>
    <border>
      <top style="thin">
        <color rgb="FFD8D8D4"/>
      </top>
      <bottom style="thin">
        <color rgb="FFD8D8D4"/>
      </bottom>
    </border>
    <border>
      <bottom style="medium">
        <color rgb="FFBFBFBB"/>
      </bottom>
    </border>
    <border>
      <bottom style="hair">
        <color rgb="FFD8D8D4"/>
      </bottom>
    </border>
  </borders>
  <cellStyleXfs count="1">
    <xf numFmtId="0" fontId="0" fillId="0" borderId="0"/>
  </cellStyleXfs>
  <cellXfs count="50">
    <xf numFmtId="0" fontId="0" fillId="0" borderId="0" pivotButton="0" quotePrefix="0" xfId="0"/>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vertical="center" wrapText="1"/>
    </xf>
    <xf numFmtId="0" fontId="13" fillId="5" borderId="2" applyAlignment="1" pivotButton="0" quotePrefix="0" xfId="0">
      <alignment horizontal="left" vertical="center"/>
    </xf>
    <xf numFmtId="0" fontId="13" fillId="5" borderId="2" applyAlignment="1" pivotButton="0" quotePrefix="0" xfId="0">
      <alignment horizontal="center" vertical="center"/>
    </xf>
    <xf numFmtId="0" fontId="14" fillId="0" borderId="0" applyAlignment="1" pivotButton="0" quotePrefix="0" xfId="0">
      <alignment horizontal="left" vertical="center"/>
    </xf>
    <xf numFmtId="3" fontId="14" fillId="0" borderId="0" applyAlignment="1" pivotButton="0" quotePrefix="0" xfId="0">
      <alignment horizontal="center" vertical="center"/>
    </xf>
    <xf numFmtId="166" fontId="14" fillId="0" borderId="0" applyAlignment="1" pivotButton="0" quotePrefix="0" xfId="0">
      <alignment horizontal="center" vertical="center"/>
    </xf>
    <xf numFmtId="0" fontId="3" fillId="6" borderId="4" applyAlignment="1" pivotButton="0" quotePrefix="0" xfId="0">
      <alignment horizontal="left" vertical="center"/>
    </xf>
    <xf numFmtId="3" fontId="3" fillId="6" borderId="4" applyAlignment="1" pivotButton="0" quotePrefix="0" xfId="0">
      <alignment horizontal="center" vertical="center"/>
    </xf>
    <xf numFmtId="166" fontId="3" fillId="6" borderId="4" applyAlignment="1" pivotButton="0" quotePrefix="0" xfId="0">
      <alignment horizontal="center" vertical="center"/>
    </xf>
    <xf numFmtId="0" fontId="2" fillId="7" borderId="4" applyAlignment="1" pivotButton="0" quotePrefix="0" xfId="0">
      <alignment horizontal="left" vertical="center"/>
    </xf>
    <xf numFmtId="3" fontId="2" fillId="7" borderId="4" applyAlignment="1" pivotButton="0" quotePrefix="0" xfId="0">
      <alignment horizontal="center" vertical="center"/>
    </xf>
    <xf numFmtId="166" fontId="2" fillId="7" borderId="4" applyAlignment="1" pivotButton="0" quotePrefix="0" xfId="0">
      <alignment horizontal="center" vertical="center"/>
    </xf>
    <xf numFmtId="0" fontId="15" fillId="0" borderId="0" applyAlignment="1" pivotButton="0" quotePrefix="0" xfId="0">
      <alignment vertical="center" wrapText="1"/>
    </xf>
    <xf numFmtId="0" fontId="16" fillId="0" borderId="0" applyAlignment="1" pivotButton="0" quotePrefix="0" xfId="0">
      <alignment horizontal="left" vertical="center"/>
    </xf>
    <xf numFmtId="0" fontId="17" fillId="7" borderId="0" applyAlignment="1" pivotButton="0" quotePrefix="0" xfId="0">
      <alignment horizontal="left" vertical="center"/>
    </xf>
    <xf numFmtId="0" fontId="1" fillId="0" borderId="0" applyAlignment="1" pivotButton="0" quotePrefix="0" xfId="0">
      <alignment horizontal="left" vertical="center"/>
    </xf>
    <xf numFmtId="0" fontId="14" fillId="8" borderId="1" applyAlignment="1" pivotButton="0" quotePrefix="0" xfId="0">
      <alignment vertical="top" wrapText="1"/>
    </xf>
    <xf numFmtId="0" fontId="14" fillId="8" borderId="1" pivotButton="0" quotePrefix="0" xfId="0"/>
    <xf numFmtId="0" fontId="18" fillId="5" borderId="5" applyAlignment="1" pivotButton="0" quotePrefix="0" xfId="0">
      <alignment horizontal="center" vertical="center" wrapText="1"/>
    </xf>
    <xf numFmtId="167" fontId="14" fillId="0" borderId="6" applyAlignment="1" pivotButton="0" quotePrefix="0" xfId="0">
      <alignment horizontal="center" vertical="center"/>
    </xf>
    <xf numFmtId="3" fontId="14" fillId="0" borderId="6" applyAlignment="1" pivotButton="0" quotePrefix="0" xfId="0">
      <alignment horizontal="center" vertical="center"/>
    </xf>
    <xf numFmtId="3" fontId="13" fillId="0" borderId="6" applyAlignment="1" pivotButton="0" quotePrefix="0" xfId="0">
      <alignment horizontal="center" vertical="center"/>
    </xf>
    <xf numFmtId="166" fontId="14" fillId="0" borderId="6" applyAlignment="1" pivotButton="0" quotePrefix="0" xfId="0">
      <alignment horizontal="center" vertical="center"/>
    </xf>
    <xf numFmtId="0" fontId="14" fillId="0" borderId="6" applyAlignment="1" pivotButton="0" quotePrefix="0" xfId="0">
      <alignment horizontal="left" vertical="center" wrapText="1"/>
    </xf>
    <xf numFmtId="0" fontId="1" fillId="0" borderId="0" applyAlignment="1" pivotButton="0" quotePrefix="0" xfId="0">
      <alignment horizontal="center" vertical="center"/>
    </xf>
    <xf numFmtId="165" fontId="2" fillId="0" borderId="0" applyAlignment="1" applyProtection="1" pivotButton="0" quotePrefix="0" xfId="0">
      <alignment horizontal="left" vertical="center"/>
      <protection locked="0" hidden="0"/>
    </xf>
    <xf numFmtId="0" fontId="0" fillId="0" borderId="0" applyProtection="1" pivotButton="0" quotePrefix="0" xfId="0">
      <protection locked="0" hidden="0"/>
    </xf>
    <xf numFmtId="0" fontId="3" fillId="2" borderId="0" applyAlignment="1" pivotButton="0" quotePrefix="0" xfId="0">
      <alignment horizontal="left" vertical="center"/>
    </xf>
    <xf numFmtId="3" fontId="4" fillId="0" borderId="1" applyAlignment="1" applyProtection="1" pivotButton="0" quotePrefix="0" xfId="0">
      <alignment horizontal="center" vertical="center"/>
      <protection locked="0" hidden="0"/>
    </xf>
    <xf numFmtId="0" fontId="5" fillId="0" borderId="0" applyAlignment="1" pivotButton="0" quotePrefix="0" xfId="0">
      <alignment horizontal="left" vertical="center"/>
    </xf>
    <xf numFmtId="3" fontId="7" fillId="0" borderId="3" applyAlignment="1" pivotButton="0" quotePrefix="0" xfId="0">
      <alignment horizontal="center" vertical="center"/>
    </xf>
    <xf numFmtId="0" fontId="2" fillId="0" borderId="0" applyAlignment="1" pivotButton="0" quotePrefix="0" xfId="0">
      <alignment horizontal="left" vertical="center"/>
    </xf>
    <xf numFmtId="0" fontId="3" fillId="3" borderId="0" applyAlignment="1" pivotButton="0" quotePrefix="0" xfId="0">
      <alignment horizontal="left" vertical="center"/>
    </xf>
    <xf numFmtId="0" fontId="3" fillId="4" borderId="0" applyAlignment="1" pivotButton="0" quotePrefix="0" xfId="0">
      <alignment horizontal="left" vertical="center"/>
    </xf>
    <xf numFmtId="0" fontId="6" fillId="0" borderId="2" applyAlignment="1" applyProtection="1" pivotButton="0" quotePrefix="0" xfId="0">
      <alignment horizontal="left" vertical="center" wrapText="1"/>
      <protection locked="0" hidden="0"/>
    </xf>
    <xf numFmtId="0" fontId="0" fillId="0" borderId="2" applyProtection="1" pivotButton="0" quotePrefix="0" xfId="0">
      <protection locked="0" hidden="0"/>
    </xf>
    <xf numFmtId="0" fontId="2" fillId="0" borderId="0" pivotButton="0" quotePrefix="0" xfId="0"/>
    <xf numFmtId="0" fontId="8" fillId="0" borderId="0" applyAlignment="1" pivotButton="0" quotePrefix="0" xfId="0">
      <alignment vertical="center" wrapText="1"/>
    </xf>
    <xf numFmtId="0" fontId="9" fillId="0" borderId="0" pivotButton="0" quotePrefix="0" xfId="0"/>
    <xf numFmtId="0" fontId="19" fillId="0" borderId="0" applyAlignment="1" pivotButton="0" quotePrefix="0" xfId="0">
      <alignment vertical="center"/>
    </xf>
    <xf numFmtId="0" fontId="14" fillId="0" borderId="0" applyAlignment="1" pivotButton="0" quotePrefix="0" xfId="0">
      <alignment vertical="top" wrapText="1"/>
    </xf>
    <xf numFmtId="0" fontId="13" fillId="0" borderId="0" applyAlignment="1" pivotButton="0" quotePrefix="0" xfId="0">
      <alignment vertical="top"/>
    </xf>
    <xf numFmtId="0" fontId="13" fillId="0" borderId="0" applyAlignment="1" pivotButton="0" quotePrefix="0" xfId="0">
      <alignment vertical="center"/>
    </xf>
    <xf numFmtId="0" fontId="14" fillId="9" borderId="1" applyProtection="1" pivotButton="0" quotePrefix="0" xfId="0">
      <protection locked="0" hidden="0"/>
    </xf>
    <xf numFmtId="0" fontId="14" fillId="0" borderId="0" pivotButton="0" quotePrefix="0" xfId="0"/>
    <xf numFmtId="0" fontId="13" fillId="0" borderId="0" applyAlignment="1" pivotButton="0" quotePrefix="0" xfId="0">
      <alignment horizontal="left"/>
    </xf>
  </cellXfs>
  <cellStyles count="1">
    <cellStyle name="Normal" xfId="0" builtinId="0" hidden="0"/>
  </cellStyles>
  <dxfs count="5">
    <dxf>
      <fill>
        <patternFill>
          <bgColor rgb="FFF4D7D5"/>
        </patternFill>
      </fill>
    </dxf>
    <dxf>
      <font>
        <b val="1"/>
        <color rgb="FFC0392B"/>
      </font>
    </dxf>
    <dxf>
      <font>
        <b val="1"/>
        <color rgb="FF1E7B34"/>
      </font>
    </dxf>
    <dxf>
      <fill>
        <patternFill>
          <bgColor rgb="FFFFFF00"/>
        </patternFill>
      </fill>
    </dxf>
    <dxf>
      <font>
        <b val="1"/>
        <color rgb="FF9C2B22"/>
      </font>
      <fill>
        <patternFill>
          <bgColor rgb="FFF4D7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Both plants — open work orders</a:t>
            </a:r>
          </a:p>
        </rich>
      </tx>
    </title>
    <plotArea>
      <lineChart>
        <grouping val="standard"/>
        <ser>
          <idx val="0"/>
          <order val="0"/>
          <tx>
            <v>Repair tickets</v>
          </tx>
          <spPr>
            <a:ln w="25400">
              <a:solidFill>
                <a:srgbClr val="2A78D6"/>
              </a:solidFill>
              <a:prstDash val="solid"/>
            </a:ln>
          </spPr>
          <marker>
            <symbol val="circle"/>
            <size val="6"/>
            <spPr>
              <a:solidFill>
                <a:srgbClr val="2A78D6"/>
              </a:solidFill>
              <a:ln w="9525">
                <a:solidFill>
                  <a:srgbClr val="FFFFFF"/>
                </a:solidFill>
                <a:prstDash val="solid"/>
              </a:ln>
            </spPr>
          </marker>
          <cat>
            <numRef>
              <f>History!chart_Week</f>
            </numRef>
          </cat>
          <val>
            <numRef>
              <f>History!chart_REPT</f>
            </numRef>
          </val>
          <smooth val="0"/>
        </ser>
        <ser>
          <idx val="1"/>
          <order val="1"/>
          <tx>
            <v>PMs</v>
          </tx>
          <spPr>
            <a:ln w="25400">
              <a:solidFill>
                <a:srgbClr val="EB6834"/>
              </a:solidFill>
              <a:prstDash val="solid"/>
            </a:ln>
          </spPr>
          <marker>
            <symbol val="circle"/>
            <size val="6"/>
            <spPr>
              <a:solidFill>
                <a:srgbClr val="EB6834"/>
              </a:solidFill>
              <a:ln w="9525">
                <a:solidFill>
                  <a:srgbClr val="FFFFFF"/>
                </a:solidFill>
                <a:prstDash val="solid"/>
              </a:ln>
            </spPr>
          </marker>
          <cat>
            <numRef>
              <f>History!chart_Week</f>
            </numRef>
          </cat>
          <val>
            <numRef>
              <f>History!chart_PMT</f>
            </numRef>
          </val>
          <smooth val="0"/>
        </ser>
        <ser>
          <idx val="2"/>
          <order val="2"/>
          <tx>
            <v>All open</v>
          </tx>
          <spPr>
            <a:ln w="31750">
              <a:solidFill>
                <a:srgbClr val="3F3F3C"/>
              </a:solidFill>
              <a:prstDash val="solid"/>
            </a:ln>
          </spPr>
          <marker>
            <symbol val="circle"/>
            <size val="6"/>
            <spPr>
              <a:solidFill>
                <a:srgbClr val="3F3F3C"/>
              </a:solidFill>
              <a:ln w="9525">
                <a:solidFill>
                  <a:srgbClr val="FFFFFF"/>
                </a:solidFill>
                <a:prstDash val="solid"/>
              </a:ln>
            </spPr>
          </marker>
          <cat>
            <numRef>
              <f>History!chart_Week</f>
            </numRef>
          </cat>
          <val>
            <numRef>
              <f>History!chart_CO</f>
            </numRef>
          </val>
          <smooth val="0"/>
        </ser>
        <ser>
          <idx val="3"/>
          <order val="3"/>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History!last_REPT</f>
            </numRef>
          </val>
          <smooth val="0"/>
        </ser>
        <ser>
          <idx val="4"/>
          <order val="4"/>
          <spPr>
            <a:ln>
              <a:noFill/>
              <a:prstDash val="solid"/>
            </a:ln>
          </spPr>
          <marker>
            <symbol val="none"/>
            <spPr>
              <a:ln>
                <a:prstDash val="solid"/>
              </a:ln>
            </spPr>
          </marker>
          <dLbls>
            <numFmt formatCode="#,##0"/>
            <dLblPos val="b"/>
            <showLegendKey val="0"/>
            <showVal val="1"/>
            <showCatName val="0"/>
            <showSerName val="0"/>
            <showPercent val="0"/>
            <showBubbleSize val="0"/>
          </dLbls>
          <cat>
            <numRef>
              <f>History!chart_Week</f>
            </numRef>
          </cat>
          <val>
            <numRef>
              <f>History!last_PMT</f>
            </numRef>
          </val>
          <smooth val="0"/>
        </ser>
        <ser>
          <idx val="5"/>
          <order val="5"/>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History!last_CO</f>
            </numRef>
          </val>
          <smooth val="0"/>
        </ser>
        <axId val="10"/>
        <axId val="100"/>
      </lineChart>
      <catAx>
        <axId val="10"/>
        <scaling>
          <orientation val="minMax"/>
        </scaling>
        <delete val="0"/>
        <axPos val="l"/>
        <numFmt formatCode="m/d" sourceLinked="0"/>
        <majorTickMark val="none"/>
        <minorTickMark val="none"/>
        <crossAx val="100"/>
        <lblOffset val="100"/>
      </catAx>
      <valAx>
        <axId val="100"/>
        <scaling>
          <orientation val="minMax"/>
          <min val="0"/>
        </scaling>
        <delete val="0"/>
        <axPos val="l"/>
        <majorGridlines>
          <spPr>
            <a:ln w="9525">
              <a:solidFill>
                <a:srgbClr val="E8E8E4"/>
              </a:solidFill>
              <a:prstDash val="solid"/>
            </a:ln>
          </spPr>
        </majorGridlines>
        <numFmt formatCode="#,##0" sourceLinked="0"/>
        <majorTickMark val="none"/>
        <minorTickMark val="none"/>
        <crossAx val="10"/>
      </valAx>
    </plotArea>
    <legend>
      <legendPos val="t"/>
      <legendEntry>
        <idx val="3"/>
        <delete val="1"/>
      </legendEntry>
      <legendEntry>
        <idx val="4"/>
        <delete val="1"/>
      </legendEntry>
      <legendEntry>
        <idx val="5"/>
        <delete val="1"/>
      </legendEntry>
      <overlay val="0"/>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Burnsville — open work orders</a:t>
            </a:r>
          </a:p>
        </rich>
      </tx>
    </title>
    <plotArea>
      <lineChart>
        <grouping val="standard"/>
        <ser>
          <idx val="0"/>
          <order val="0"/>
          <tx>
            <v>Repair tickets</v>
          </tx>
          <spPr>
            <a:ln w="25400">
              <a:solidFill>
                <a:srgbClr val="2A78D6"/>
              </a:solidFill>
              <a:prstDash val="solid"/>
            </a:ln>
          </spPr>
          <marker>
            <symbol val="circle"/>
            <size val="6"/>
            <spPr>
              <a:solidFill>
                <a:srgbClr val="2A78D6"/>
              </a:solidFill>
              <a:ln w="9525">
                <a:solidFill>
                  <a:srgbClr val="FFFFFF"/>
                </a:solidFill>
                <a:prstDash val="solid"/>
              </a:ln>
            </spPr>
          </marker>
          <cat>
            <numRef>
              <f>History!chart_Week</f>
            </numRef>
          </cat>
          <val>
            <numRef>
              <f>History!chart_BVR</f>
            </numRef>
          </val>
          <smooth val="0"/>
        </ser>
        <ser>
          <idx val="1"/>
          <order val="1"/>
          <tx>
            <v>PMs</v>
          </tx>
          <spPr>
            <a:ln w="25400">
              <a:solidFill>
                <a:srgbClr val="EB6834"/>
              </a:solidFill>
              <a:prstDash val="solid"/>
            </a:ln>
          </spPr>
          <marker>
            <symbol val="circle"/>
            <size val="6"/>
            <spPr>
              <a:solidFill>
                <a:srgbClr val="EB6834"/>
              </a:solidFill>
              <a:ln w="9525">
                <a:solidFill>
                  <a:srgbClr val="FFFFFF"/>
                </a:solidFill>
                <a:prstDash val="solid"/>
              </a:ln>
            </spPr>
          </marker>
          <cat>
            <numRef>
              <f>History!chart_Week</f>
            </numRef>
          </cat>
          <val>
            <numRef>
              <f>History!chart_BVP</f>
            </numRef>
          </val>
          <smooth val="0"/>
        </ser>
        <ser>
          <idx val="2"/>
          <order val="2"/>
          <tx>
            <v>All open</v>
          </tx>
          <spPr>
            <a:ln w="31750">
              <a:solidFill>
                <a:srgbClr val="3F3F3C"/>
              </a:solidFill>
              <a:prstDash val="solid"/>
            </a:ln>
          </spPr>
          <marker>
            <symbol val="circle"/>
            <size val="6"/>
            <spPr>
              <a:solidFill>
                <a:srgbClr val="3F3F3C"/>
              </a:solidFill>
              <a:ln w="9525">
                <a:solidFill>
                  <a:srgbClr val="FFFFFF"/>
                </a:solidFill>
                <a:prstDash val="solid"/>
              </a:ln>
            </spPr>
          </marker>
          <cat>
            <numRef>
              <f>History!chart_Week</f>
            </numRef>
          </cat>
          <val>
            <numRef>
              <f>History!chart_BVT</f>
            </numRef>
          </val>
          <smooth val="0"/>
        </ser>
        <ser>
          <idx val="3"/>
          <order val="3"/>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History!last_BVR</f>
            </numRef>
          </val>
          <smooth val="0"/>
        </ser>
        <ser>
          <idx val="4"/>
          <order val="4"/>
          <spPr>
            <a:ln>
              <a:noFill/>
              <a:prstDash val="solid"/>
            </a:ln>
          </spPr>
          <marker>
            <symbol val="none"/>
            <spPr>
              <a:ln>
                <a:prstDash val="solid"/>
              </a:ln>
            </spPr>
          </marker>
          <dLbls>
            <numFmt formatCode="#,##0"/>
            <dLblPos val="b"/>
            <showLegendKey val="0"/>
            <showVal val="1"/>
            <showCatName val="0"/>
            <showSerName val="0"/>
            <showPercent val="0"/>
            <showBubbleSize val="0"/>
          </dLbls>
          <cat>
            <numRef>
              <f>History!chart_Week</f>
            </numRef>
          </cat>
          <val>
            <numRef>
              <f>History!last_BVP</f>
            </numRef>
          </val>
          <smooth val="0"/>
        </ser>
        <ser>
          <idx val="5"/>
          <order val="5"/>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History!last_BVT</f>
            </numRef>
          </val>
          <smooth val="0"/>
        </ser>
        <axId val="10"/>
        <axId val="100"/>
      </lineChart>
      <catAx>
        <axId val="10"/>
        <scaling>
          <orientation val="minMax"/>
        </scaling>
        <delete val="0"/>
        <axPos val="l"/>
        <numFmt formatCode="m/d" sourceLinked="0"/>
        <majorTickMark val="none"/>
        <minorTickMark val="none"/>
        <crossAx val="100"/>
        <lblOffset val="100"/>
      </catAx>
      <valAx>
        <axId val="100"/>
        <scaling>
          <orientation val="minMax"/>
          <min val="0"/>
        </scaling>
        <delete val="0"/>
        <axPos val="l"/>
        <majorGridlines>
          <spPr>
            <a:ln w="9525">
              <a:solidFill>
                <a:srgbClr val="E8E8E4"/>
              </a:solidFill>
              <a:prstDash val="solid"/>
            </a:ln>
          </spPr>
        </majorGridlines>
        <numFmt formatCode="#,##0" sourceLinked="0"/>
        <majorTickMark val="none"/>
        <minorTickMark val="none"/>
        <crossAx val="10"/>
      </valAx>
    </plotArea>
    <legend>
      <legendPos val="t"/>
      <legendEntry>
        <idx val="3"/>
        <delete val="1"/>
      </legendEntry>
      <legendEntry>
        <idx val="4"/>
        <delete val="1"/>
      </legendEntry>
      <legendEntry>
        <idx val="5"/>
        <delete val="1"/>
      </legendEntry>
      <overlay val="0"/>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Lakeville — open work orders</a:t>
            </a:r>
          </a:p>
        </rich>
      </tx>
    </title>
    <plotArea>
      <lineChart>
        <grouping val="standard"/>
        <ser>
          <idx val="0"/>
          <order val="0"/>
          <tx>
            <v>Repair tickets</v>
          </tx>
          <spPr>
            <a:ln w="25400">
              <a:solidFill>
                <a:srgbClr val="2A78D6"/>
              </a:solidFill>
              <a:prstDash val="solid"/>
            </a:ln>
          </spPr>
          <marker>
            <symbol val="circle"/>
            <size val="6"/>
            <spPr>
              <a:solidFill>
                <a:srgbClr val="2A78D6"/>
              </a:solidFill>
              <a:ln w="9525">
                <a:solidFill>
                  <a:srgbClr val="FFFFFF"/>
                </a:solidFill>
                <a:prstDash val="solid"/>
              </a:ln>
            </spPr>
          </marker>
          <cat>
            <numRef>
              <f>History!chart_Week</f>
            </numRef>
          </cat>
          <val>
            <numRef>
              <f>History!chart_LVR</f>
            </numRef>
          </val>
          <smooth val="0"/>
        </ser>
        <ser>
          <idx val="1"/>
          <order val="1"/>
          <tx>
            <v>PMs</v>
          </tx>
          <spPr>
            <a:ln w="25400">
              <a:solidFill>
                <a:srgbClr val="EB6834"/>
              </a:solidFill>
              <a:prstDash val="solid"/>
            </a:ln>
          </spPr>
          <marker>
            <symbol val="circle"/>
            <size val="6"/>
            <spPr>
              <a:solidFill>
                <a:srgbClr val="EB6834"/>
              </a:solidFill>
              <a:ln w="9525">
                <a:solidFill>
                  <a:srgbClr val="FFFFFF"/>
                </a:solidFill>
                <a:prstDash val="solid"/>
              </a:ln>
            </spPr>
          </marker>
          <cat>
            <numRef>
              <f>History!chart_Week</f>
            </numRef>
          </cat>
          <val>
            <numRef>
              <f>History!chart_LVP</f>
            </numRef>
          </val>
          <smooth val="0"/>
        </ser>
        <ser>
          <idx val="2"/>
          <order val="2"/>
          <tx>
            <v>All open</v>
          </tx>
          <spPr>
            <a:ln w="31750">
              <a:solidFill>
                <a:srgbClr val="3F3F3C"/>
              </a:solidFill>
              <a:prstDash val="solid"/>
            </a:ln>
          </spPr>
          <marker>
            <symbol val="circle"/>
            <size val="6"/>
            <spPr>
              <a:solidFill>
                <a:srgbClr val="3F3F3C"/>
              </a:solidFill>
              <a:ln w="9525">
                <a:solidFill>
                  <a:srgbClr val="FFFFFF"/>
                </a:solidFill>
                <a:prstDash val="solid"/>
              </a:ln>
            </spPr>
          </marker>
          <cat>
            <numRef>
              <f>History!chart_Week</f>
            </numRef>
          </cat>
          <val>
            <numRef>
              <f>History!chart_LVT</f>
            </numRef>
          </val>
          <smooth val="0"/>
        </ser>
        <ser>
          <idx val="3"/>
          <order val="3"/>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History!last_LVR</f>
            </numRef>
          </val>
          <smooth val="0"/>
        </ser>
        <ser>
          <idx val="4"/>
          <order val="4"/>
          <spPr>
            <a:ln>
              <a:noFill/>
              <a:prstDash val="solid"/>
            </a:ln>
          </spPr>
          <marker>
            <symbol val="none"/>
            <spPr>
              <a:ln>
                <a:prstDash val="solid"/>
              </a:ln>
            </spPr>
          </marker>
          <dLbls>
            <numFmt formatCode="#,##0"/>
            <dLblPos val="b"/>
            <showLegendKey val="0"/>
            <showVal val="1"/>
            <showCatName val="0"/>
            <showSerName val="0"/>
            <showPercent val="0"/>
            <showBubbleSize val="0"/>
          </dLbls>
          <cat>
            <numRef>
              <f>History!chart_Week</f>
            </numRef>
          </cat>
          <val>
            <numRef>
              <f>History!last_LVP</f>
            </numRef>
          </val>
          <smooth val="0"/>
        </ser>
        <ser>
          <idx val="5"/>
          <order val="5"/>
          <spPr>
            <a:ln>
              <a:noFill/>
              <a:prstDash val="solid"/>
            </a:ln>
          </spPr>
          <marker>
            <symbol val="none"/>
            <spPr>
              <a:ln>
                <a:prstDash val="solid"/>
              </a:ln>
            </spPr>
          </marker>
          <dLbls>
            <numFmt formatCode="#,##0"/>
            <dLblPos val="t"/>
            <showLegendKey val="0"/>
            <showVal val="1"/>
            <showCatName val="0"/>
            <showSerName val="0"/>
            <showPercent val="0"/>
            <showBubbleSize val="0"/>
          </dLbls>
          <cat>
            <numRef>
              <f>History!chart_Week</f>
            </numRef>
          </cat>
          <val>
            <numRef>
              <f>History!last_LVT</f>
            </numRef>
          </val>
          <smooth val="0"/>
        </ser>
        <axId val="10"/>
        <axId val="100"/>
      </lineChart>
      <catAx>
        <axId val="10"/>
        <scaling>
          <orientation val="minMax"/>
        </scaling>
        <delete val="0"/>
        <axPos val="l"/>
        <numFmt formatCode="m/d" sourceLinked="0"/>
        <majorTickMark val="none"/>
        <minorTickMark val="none"/>
        <crossAx val="100"/>
        <lblOffset val="100"/>
      </catAx>
      <valAx>
        <axId val="100"/>
        <scaling>
          <orientation val="minMax"/>
          <min val="0"/>
        </scaling>
        <delete val="0"/>
        <axPos val="l"/>
        <majorGridlines>
          <spPr>
            <a:ln w="9525">
              <a:solidFill>
                <a:srgbClr val="E8E8E4"/>
              </a:solidFill>
              <a:prstDash val="solid"/>
            </a:ln>
          </spPr>
        </majorGridlines>
        <numFmt formatCode="#,##0" sourceLinked="0"/>
        <majorTickMark val="none"/>
        <minorTickMark val="none"/>
        <crossAx val="10"/>
      </valAx>
    </plotArea>
    <legend>
      <legendPos val="t"/>
      <legendEntry>
        <idx val="3"/>
        <delete val="1"/>
      </legendEntry>
      <legendEntry>
        <idx val="4"/>
        <delete val="1"/>
      </legendEntry>
      <legendEntry>
        <idx val="5"/>
        <delete val="1"/>
      </legendEntry>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4500000" cy="27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19</row>
      <rowOff>0</rowOff>
    </from>
    <ext cx="450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36</row>
      <rowOff>0</rowOff>
    </from>
    <ext cx="4500000" cy="270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WeeklyLog" displayName="WeeklyLog" ref="A55:L165" headerRowCount="1">
  <tableColumns count="12">
    <tableColumn id="1" name="Count Date"/>
    <tableColumn id="2" name="Burnsville Repair Tickets"/>
    <tableColumn id="3" name="Burnsville PMs"/>
    <tableColumn id="4" name="Burnsville Total"/>
    <tableColumn id="5" name="Lakeville Repair Tickets"/>
    <tableColumn id="6" name="Lakeville PMs"/>
    <tableColumn id="7" name="Lakeville Total"/>
    <tableColumn id="8" name="Repair Tickets Both Plants"/>
    <tableColumn id="9" name="PMs Both Plants"/>
    <tableColumn id="10" name="All Open Both Plants"/>
    <tableColumn id="11" name="Change vs Previous Entry"/>
    <tableColumn id="12"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sheet1.xml><?xml version="1.0" encoding="utf-8"?>
<worksheet xmlns="http://schemas.openxmlformats.org/spreadsheetml/2006/main">
  <sheetPr>
    <tabColor rgb="FF1E7B34"/>
    <outlinePr summaryBelow="1" summaryRight="1"/>
    <pageSetUpPr fitToPage="1"/>
  </sheetPr>
  <dimension ref="A1:N165"/>
  <sheetViews>
    <sheetView showGridLines="0" workbookViewId="0">
      <selection activeCell="A1" sqref="A1"/>
    </sheetView>
  </sheetViews>
  <sheetFormatPr baseColWidth="8" defaultRowHeight="15"/>
  <cols>
    <col width="14" customWidth="1" min="1" max="1"/>
    <col width="15" customWidth="1" min="2" max="2"/>
    <col width="14" customWidth="1" min="3" max="3"/>
    <col width="14" customWidth="1" min="4" max="4"/>
    <col width="15" customWidth="1" min="5" max="5"/>
    <col width="14" customWidth="1" min="6" max="6"/>
    <col width="14" customWidth="1" min="7" max="7"/>
    <col width="14" customWidth="1" min="8" max="8"/>
    <col width="14" customWidth="1" min="9" max="9"/>
    <col width="15" customWidth="1" min="10" max="10"/>
    <col width="16" customWidth="1" min="11" max="11"/>
    <col width="34" customWidth="1" min="12" max="12"/>
    <col hidden="1" width="12" customWidth="1" min="14" max="14"/>
    <col hidden="1" width="12" customWidth="1" min="15" max="15"/>
  </cols>
  <sheetData>
    <row r="1" ht="30" customHeight="1">
      <c r="A1" s="1" t="inlineStr">
        <is>
          <t>OPEN WORK ORDERS — WEEKLY HISTORY</t>
        </is>
      </c>
      <c r="N1">
        <f>COUNT($A$56:$A$165)</f>
        <v/>
      </c>
    </row>
    <row r="2">
      <c r="A2" s="2" t="inlineStr">
        <is>
          <t>Buddy's Kitchen · Burnsville and Lakeville · type this week's counts on the Totals tab and everything below updates itself</t>
        </is>
      </c>
      <c r="N2">
        <f>IF($N$1=0,"",INDEX($A$56:$A$165,$N$1))</f>
        <v/>
      </c>
    </row>
    <row r="3" ht="24" customHeight="1">
      <c r="A3" s="3">
        <f>IF($N$1=0,"No weeks entered yet — start on the Totals tab.","Week of "&amp;TEXT($N$2,"mmmm d, yyyy")&amp;":   "&amp;TEXT($D$8,"#,##0")&amp;" open repair tickets"&amp;IF($F$8=""," (first week on record)"," ("&amp;IF($F$8&gt;0,"up "&amp;TEXT($F$8,"#,##0"),IF($F$8&lt;0,"down "&amp;TEXT(-$F$8,"#,##0"),"unchanged"))&amp;" "&amp;$N$7&amp;")")&amp;".   PMs "&amp;TEXT($D$12,"#,##0")&amp;IF($F$12=""," "," ("&amp;IF($F$12&gt;0,"up "&amp;TEXT($F$12,"#,##0"),IF($F$12&lt;0,"down "&amp;TEXT(-$F$12,"#,##0"),"unchanged"))&amp;").")&amp;"   All open "&amp;TEXT($D$16,"#,##0")&amp;".")</f>
        <v/>
      </c>
      <c r="N3">
        <f>Totals!$C$33</f>
        <v/>
      </c>
    </row>
    <row r="4" ht="22" customHeight="1">
      <c r="A4" s="4">
        <f>IF(Totals!$F$33&gt;0,"⚠  Two or more week blocks on the Totals tab carry the same date. Fix that before sending this out — one of them is a phantom week.",IF(Totals!$E$33&gt;0,"⚠  "&amp;TEXT(Totals!$E$33,"0")&amp;" week block(s) on the Totals tab are part-filled, so they are being left out of the history. Every week needs all four counts and a date.",IF($N$1&gt;=110,"⚠  The weekly log is full. Add rows before entering another week — see the Read Me tab.","")))</f>
        <v/>
      </c>
      <c r="B4" s="4" t="n"/>
      <c r="C4" s="4" t="n"/>
      <c r="D4" s="4" t="n"/>
      <c r="E4" s="4" t="n"/>
      <c r="F4" s="4" t="n"/>
      <c r="G4" s="4" t="n"/>
      <c r="H4" s="4" t="n"/>
      <c r="I4" s="4" t="n"/>
      <c r="J4" s="4" t="n"/>
      <c r="K4" s="4" t="n"/>
      <c r="L4" s="4" t="n"/>
      <c r="N4">
        <f>Totals!$D$33</f>
        <v/>
      </c>
    </row>
    <row r="5">
      <c r="A5" s="5" t="inlineStr"/>
      <c r="B5" s="6" t="n"/>
      <c r="C5" s="6" t="n"/>
      <c r="D5" s="6" t="inlineStr">
        <is>
          <t>This week</t>
        </is>
      </c>
      <c r="E5" s="6" t="inlineStr">
        <is>
          <t>Previous entry</t>
        </is>
      </c>
      <c r="F5" s="6" t="inlineStr">
        <is>
          <t>Change</t>
        </is>
      </c>
      <c r="G5" s="6" t="inlineStr">
        <is>
          <t>4-week avg</t>
        </is>
      </c>
      <c r="N5">
        <f>IF('Read Me'!$C$37="","(paste the file link — see the Read Me tab)",'Read Me'!$C$37)</f>
        <v/>
      </c>
    </row>
    <row r="6" ht="17" customHeight="1">
      <c r="A6" s="7" t="inlineStr">
        <is>
          <t>Open repair tickets — Burnsville</t>
        </is>
      </c>
      <c r="B6" s="7" t="n"/>
      <c r="C6" s="7" t="n"/>
      <c r="D6" s="8">
        <f>IF($N$1=0,"",INDEX($B$56:$B$165,$N$1))</f>
        <v/>
      </c>
      <c r="E6" s="8">
        <f>IF($N$1&lt;2,"",INDEX($B$56:$B$165,$N$1-1))</f>
        <v/>
      </c>
      <c r="F6" s="9">
        <f>IF(OR(D6="",E6=""),"",D6-E6)</f>
        <v/>
      </c>
      <c r="G6" s="8">
        <f>IF($N$1=0,"",AVERAGE(INDEX($B$56:$B$165,MAX(1,$N$1-3)):INDEX($B$56:$B$165,$N$1)))</f>
        <v/>
      </c>
      <c r="N6">
        <f>IF($N$1&lt;2,"",INDEX($A$56:$A$165,$N$1)-INDEX($A$56:$A$165,$N$1-1))</f>
        <v/>
      </c>
    </row>
    <row r="7" ht="17" customHeight="1">
      <c r="A7" s="7" t="inlineStr">
        <is>
          <t>Open repair tickets — Lakeville</t>
        </is>
      </c>
      <c r="B7" s="7" t="n"/>
      <c r="C7" s="7" t="n"/>
      <c r="D7" s="8">
        <f>IF($N$1=0,"",INDEX($E$56:$E$165,$N$1))</f>
        <v/>
      </c>
      <c r="E7" s="8">
        <f>IF($N$1&lt;2,"",INDEX($E$56:$E$165,$N$1-1))</f>
        <v/>
      </c>
      <c r="F7" s="9">
        <f>IF(OR(D7="",E7=""),"",D7-E7)</f>
        <v/>
      </c>
      <c r="G7" s="8">
        <f>IF($N$1=0,"",AVERAGE(INDEX($E$56:$E$165,MAX(1,$N$1-3)):INDEX($E$56:$E$165,$N$1)))</f>
        <v/>
      </c>
      <c r="N7">
        <f>IF($N$6="","",IF($N$6=7,"vs last week","vs the previous entry, "&amp;TEXT($N$6,"0")&amp;" days earlier"))</f>
        <v/>
      </c>
    </row>
    <row r="8" ht="24" customHeight="1">
      <c r="A8" s="10" t="inlineStr">
        <is>
          <t>OPEN REPAIR TICKETS — BOTH PLANTS</t>
        </is>
      </c>
      <c r="B8" s="10" t="n"/>
      <c r="C8" s="10" t="n"/>
      <c r="D8" s="11">
        <f>IF($N$1=0,"",INDEX($H$56:$H$165,$N$1))</f>
        <v/>
      </c>
      <c r="E8" s="11">
        <f>IF($N$1&lt;2,"",INDEX($H$56:$H$165,$N$1-1))</f>
        <v/>
      </c>
      <c r="F8" s="12">
        <f>IF(OR(D8="",E8=""),"",D8-E8)</f>
        <v/>
      </c>
      <c r="G8" s="11">
        <f>IF($N$1=0,"",AVERAGE(INDEX($H$56:$H$165,MAX(1,$N$1-3)):INDEX($H$56:$H$165,$N$1)))</f>
        <v/>
      </c>
    </row>
    <row r="10" ht="17" customHeight="1">
      <c r="A10" s="7" t="inlineStr">
        <is>
          <t>Open PMs — Burnsville</t>
        </is>
      </c>
      <c r="B10" s="7" t="n"/>
      <c r="C10" s="7" t="n"/>
      <c r="D10" s="8">
        <f>IF($N$1=0,"",INDEX($C$56:$C$165,$N$1))</f>
        <v/>
      </c>
      <c r="E10" s="8">
        <f>IF($N$1&lt;2,"",INDEX($C$56:$C$165,$N$1-1))</f>
        <v/>
      </c>
      <c r="F10" s="9">
        <f>IF(OR(D10="",E10=""),"",D10-E10)</f>
        <v/>
      </c>
      <c r="G10" s="8">
        <f>IF($N$1=0,"",AVERAGE(INDEX($C$56:$C$165,MAX(1,$N$1-3)):INDEX($C$56:$C$165,$N$1)))</f>
        <v/>
      </c>
    </row>
    <row r="11" ht="17" customHeight="1">
      <c r="A11" s="7" t="inlineStr">
        <is>
          <t>Open PMs — Lakeville</t>
        </is>
      </c>
      <c r="B11" s="7" t="n"/>
      <c r="C11" s="7" t="n"/>
      <c r="D11" s="8">
        <f>IF($N$1=0,"",INDEX($F$56:$F$165,$N$1))</f>
        <v/>
      </c>
      <c r="E11" s="8">
        <f>IF($N$1&lt;2,"",INDEX($F$56:$F$165,$N$1-1))</f>
        <v/>
      </c>
      <c r="F11" s="9">
        <f>IF(OR(D11="",E11=""),"",D11-E11)</f>
        <v/>
      </c>
      <c r="G11" s="8">
        <f>IF($N$1=0,"",AVERAGE(INDEX($F$56:$F$165,MAX(1,$N$1-3)):INDEX($F$56:$F$165,$N$1)))</f>
        <v/>
      </c>
    </row>
    <row r="12" ht="20" customHeight="1">
      <c r="A12" s="13" t="inlineStr">
        <is>
          <t>Open PMs — both plants</t>
        </is>
      </c>
      <c r="B12" s="13" t="n"/>
      <c r="C12" s="13" t="n"/>
      <c r="D12" s="14">
        <f>IF($N$1=0,"",INDEX($I$56:$I$165,$N$1))</f>
        <v/>
      </c>
      <c r="E12" s="14">
        <f>IF($N$1&lt;2,"",INDEX($I$56:$I$165,$N$1-1))</f>
        <v/>
      </c>
      <c r="F12" s="15">
        <f>IF(OR(D12="",E12=""),"",D12-E12)</f>
        <v/>
      </c>
      <c r="G12" s="14">
        <f>IF($N$1=0,"",AVERAGE(INDEX($I$56:$I$165,MAX(1,$N$1-3)):INDEX($I$56:$I$165,$N$1)))</f>
        <v/>
      </c>
    </row>
    <row r="14" ht="17" customHeight="1">
      <c r="A14" s="7" t="inlineStr">
        <is>
          <t>All open work orders — Burnsville</t>
        </is>
      </c>
      <c r="B14" s="7" t="n"/>
      <c r="C14" s="7" t="n"/>
      <c r="D14" s="8">
        <f>IF($N$1=0,"",INDEX($D$56:$D$165,$N$1))</f>
        <v/>
      </c>
      <c r="E14" s="8">
        <f>IF($N$1&lt;2,"",INDEX($D$56:$D$165,$N$1-1))</f>
        <v/>
      </c>
      <c r="F14" s="9">
        <f>IF(OR(D14="",E14=""),"",D14-E14)</f>
        <v/>
      </c>
      <c r="G14" s="8">
        <f>IF($N$1=0,"",AVERAGE(INDEX($D$56:$D$165,MAX(1,$N$1-3)):INDEX($D$56:$D$165,$N$1)))</f>
        <v/>
      </c>
    </row>
    <row r="15" ht="17" customHeight="1">
      <c r="A15" s="7" t="inlineStr">
        <is>
          <t>All open work orders — Lakeville</t>
        </is>
      </c>
      <c r="B15" s="7" t="n"/>
      <c r="C15" s="7" t="n"/>
      <c r="D15" s="8">
        <f>IF($N$1=0,"",INDEX($G$56:$G$165,$N$1))</f>
        <v/>
      </c>
      <c r="E15" s="8">
        <f>IF($N$1&lt;2,"",INDEX($G$56:$G$165,$N$1-1))</f>
        <v/>
      </c>
      <c r="F15" s="9">
        <f>IF(OR(D15="",E15=""),"",D15-E15)</f>
        <v/>
      </c>
      <c r="G15" s="8">
        <f>IF($N$1=0,"",AVERAGE(INDEX($G$56:$G$165,MAX(1,$N$1-3)):INDEX($G$56:$G$165,$N$1)))</f>
        <v/>
      </c>
    </row>
    <row r="16" ht="20" customHeight="1">
      <c r="A16" s="13" t="inlineStr">
        <is>
          <t>All open work orders — both plants</t>
        </is>
      </c>
      <c r="B16" s="13" t="n"/>
      <c r="C16" s="13" t="n"/>
      <c r="D16" s="14">
        <f>IF($N$1=0,"",INDEX($J$56:$J$165,$N$1))</f>
        <v/>
      </c>
      <c r="E16" s="14">
        <f>IF($N$1&lt;2,"",INDEX($J$56:$J$165,$N$1-1))</f>
        <v/>
      </c>
      <c r="F16" s="15">
        <f>IF(OR(D16="",E16=""),"",D16-E16)</f>
        <v/>
      </c>
      <c r="G16" s="14">
        <f>IF($N$1=0,"",AVERAGE(INDEX($J$56:$J$165,MAX(1,$N$1-3)):INDEX($J$56:$J$165,$N$1)))</f>
        <v/>
      </c>
    </row>
    <row r="17" ht="26" customHeight="1">
      <c r="A17" s="16" t="inlineStr">
        <is>
          <t>▲ = more open than the previous entry   ·   ▼ = fewer.   Only the repair rows are coloured: PMs jump whenever the maintenance system releases a batch, which is not a backlog problem, so repair tickets are the line to watch.</t>
        </is>
      </c>
    </row>
    <row r="18">
      <c r="A18" s="17">
        <f>HYPERLINK("#Totals!"&amp;ADDRESS(4,Totals!$B$33,4),"► Enter this week's counts on the Totals tab")</f>
        <v/>
      </c>
    </row>
    <row r="19" ht="20" customHeight="1">
      <c r="A19" s="18" t="inlineStr">
        <is>
          <t>TREND — the most recent 26 weeks (every week is in the log below)</t>
        </is>
      </c>
      <c r="B19" s="18" t="n"/>
      <c r="C19" s="18" t="n"/>
      <c r="D19" s="18" t="n"/>
      <c r="E19" s="18" t="n"/>
      <c r="F19" s="18" t="n"/>
      <c r="G19" s="18" t="n"/>
      <c r="H19" s="18" t="n"/>
      <c r="I19" s="18" t="n"/>
      <c r="J19" s="18" t="n"/>
      <c r="K19" s="18" t="n"/>
      <c r="L19" s="18" t="n"/>
    </row>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c r="F36" s="19" t="inlineStr">
        <is>
          <t>COPY THIS INTO THE WEEKLY EMAIL  —  click the cell, copy, then in Outlook paste with Keep Text Only</t>
        </is>
      </c>
    </row>
    <row r="37" ht="15" customHeight="1">
      <c r="F37" s="20">
        <f>IF($N$1=0,"Enter a week on the Totals tab and this fills in.","Open work orders — week of "&amp;TEXT($N$2,"mm/dd/yyyy")&amp;CHAR(10)&amp;CHAR(10)&amp;"Repair tickets: "&amp;TEXT($D$8,"#,##0")&amp;"  ("&amp;IF($F$8="","n/a",IF($F$8&gt;0,"+"&amp;TEXT($F$8,"#,##0"),IF($F$8&lt;0,TEXT($F$8,"#,##0"),"no change")))&amp;" "&amp;$N$7&amp;")"&amp;CHAR(10)&amp;"PMs: "&amp;TEXT($D$12,"#,##0")&amp;"  ("&amp;IF($F$12="","n/a",IF($F$12&gt;0,"+"&amp;TEXT($F$12,"#,##0"),IF($F$12&lt;0,TEXT($F$12,"#,##0"),"no change")))&amp;")"&amp;CHAR(10)&amp;"All open: "&amp;TEXT($D$16,"#,##0")&amp;"  ("&amp;IF($F$16="","n/a",IF($F$16&gt;0,"+"&amp;TEXT($F$16,"#,##0"),IF($F$16&lt;0,TEXT($F$16,"#,##0"),"no change")))&amp;")"&amp;CHAR(10)&amp;CHAR(10)&amp;"Burnsville: "&amp;TEXT($D$14,"#,##0")&amp;"  ("&amp;IF($F$14="","n/a",IF($F$14&gt;0,"+"&amp;TEXT($F$14,"#,##0"),IF($F$14&lt;0,TEXT($F$14,"#,##0"),"no change")))&amp;")"&amp;CHAR(10)&amp;"Lakeville: "&amp;TEXT($D$15,"#,##0")&amp;"  ("&amp;IF($F$15="","n/a",IF($F$15&gt;0,"+"&amp;TEXT($F$15,"#,##0"),IF($F$15&lt;0,TEXT($F$15,"#,##0"),"no change")))&amp;")"&amp;CHAR(10)&amp;CHAR(10)&amp;"Full history and charts: "&amp;$N$5)</f>
        <v/>
      </c>
      <c r="G37" s="21" t="n"/>
      <c r="H37" s="21" t="n"/>
      <c r="I37" s="21" t="n"/>
      <c r="J37" s="21" t="n"/>
      <c r="K37" s="21" t="n"/>
      <c r="L37" s="21" t="n"/>
    </row>
    <row r="38" ht="15" customHeight="1">
      <c r="F38" s="21" t="n"/>
      <c r="G38" s="21" t="n"/>
      <c r="H38" s="21" t="n"/>
      <c r="I38" s="21" t="n"/>
      <c r="J38" s="21" t="n"/>
      <c r="K38" s="21" t="n"/>
      <c r="L38" s="21" t="n"/>
    </row>
    <row r="39" ht="15" customHeight="1">
      <c r="F39" s="21" t="n"/>
      <c r="G39" s="21" t="n"/>
      <c r="H39" s="21" t="n"/>
      <c r="I39" s="21" t="n"/>
      <c r="J39" s="21" t="n"/>
      <c r="K39" s="21" t="n"/>
      <c r="L39" s="21" t="n"/>
    </row>
    <row r="40" ht="15" customHeight="1">
      <c r="F40" s="21" t="n"/>
      <c r="G40" s="21" t="n"/>
      <c r="H40" s="21" t="n"/>
      <c r="I40" s="21" t="n"/>
      <c r="J40" s="21" t="n"/>
      <c r="K40" s="21" t="n"/>
      <c r="L40" s="21" t="n"/>
    </row>
    <row r="41" ht="15" customHeight="1">
      <c r="F41" s="21" t="n"/>
      <c r="G41" s="21" t="n"/>
      <c r="H41" s="21" t="n"/>
      <c r="I41" s="21" t="n"/>
      <c r="J41" s="21" t="n"/>
      <c r="K41" s="21" t="n"/>
      <c r="L41" s="21" t="n"/>
    </row>
    <row r="42" ht="15" customHeight="1">
      <c r="F42" s="21" t="n"/>
      <c r="G42" s="21" t="n"/>
      <c r="H42" s="21" t="n"/>
      <c r="I42" s="21" t="n"/>
      <c r="J42" s="21" t="n"/>
      <c r="K42" s="21" t="n"/>
      <c r="L42" s="21" t="n"/>
    </row>
    <row r="43" ht="15" customHeight="1">
      <c r="F43" s="21" t="n"/>
      <c r="G43" s="21" t="n"/>
      <c r="H43" s="21" t="n"/>
      <c r="I43" s="21" t="n"/>
      <c r="J43" s="21" t="n"/>
      <c r="K43" s="21" t="n"/>
      <c r="L43" s="21" t="n"/>
    </row>
    <row r="44" ht="15" customHeight="1">
      <c r="F44" s="21" t="n"/>
      <c r="G44" s="21" t="n"/>
      <c r="H44" s="21" t="n"/>
      <c r="I44" s="21" t="n"/>
      <c r="J44" s="21" t="n"/>
      <c r="K44" s="21" t="n"/>
      <c r="L44" s="21" t="n"/>
    </row>
    <row r="45" ht="15" customHeight="1">
      <c r="F45" s="21" t="n"/>
      <c r="G45" s="21" t="n"/>
      <c r="H45" s="21" t="n"/>
      <c r="I45" s="21" t="n"/>
      <c r="J45" s="21" t="n"/>
      <c r="K45" s="21" t="n"/>
      <c r="L45" s="21" t="n"/>
    </row>
    <row r="46" ht="15" customHeight="1">
      <c r="F46" s="21" t="n"/>
      <c r="G46" s="21" t="n"/>
      <c r="H46" s="21" t="n"/>
      <c r="I46" s="21" t="n"/>
      <c r="J46" s="21" t="n"/>
      <c r="K46" s="21" t="n"/>
      <c r="L46" s="21" t="n"/>
    </row>
    <row r="47" ht="15" customHeight="1">
      <c r="F47" s="21" t="n"/>
      <c r="G47" s="21" t="n"/>
      <c r="H47" s="21" t="n"/>
      <c r="I47" s="21" t="n"/>
      <c r="J47" s="21" t="n"/>
      <c r="K47" s="21" t="n"/>
      <c r="L47" s="21" t="n"/>
    </row>
    <row r="48" ht="15" customHeight="1">
      <c r="F48" s="21" t="n"/>
      <c r="G48" s="21" t="n"/>
      <c r="H48" s="21" t="n"/>
      <c r="I48" s="21" t="n"/>
      <c r="J48" s="21" t="n"/>
      <c r="K48" s="21" t="n"/>
      <c r="L48" s="21" t="n"/>
    </row>
    <row r="49" ht="15" customHeight="1">
      <c r="F49" s="21" t="n"/>
      <c r="G49" s="21" t="n"/>
      <c r="H49" s="21" t="n"/>
      <c r="I49" s="21" t="n"/>
      <c r="J49" s="21" t="n"/>
      <c r="K49" s="21" t="n"/>
      <c r="L49" s="21" t="n"/>
    </row>
    <row r="50" ht="15" customHeight="1">
      <c r="F50" s="21" t="n"/>
      <c r="G50" s="21" t="n"/>
      <c r="H50" s="21" t="n"/>
      <c r="I50" s="21" t="n"/>
      <c r="J50" s="21" t="n"/>
      <c r="K50" s="21" t="n"/>
      <c r="L50" s="21" t="n"/>
    </row>
    <row r="51" ht="15" customHeight="1">
      <c r="F51" s="21" t="n"/>
      <c r="G51" s="21" t="n"/>
      <c r="H51" s="21" t="n"/>
      <c r="I51" s="21" t="n"/>
      <c r="J51" s="21" t="n"/>
      <c r="K51" s="21" t="n"/>
      <c r="L51" s="21" t="n"/>
    </row>
    <row r="52" ht="15" customHeight="1"/>
    <row r="54" ht="20" customHeight="1">
      <c r="A54" s="18" t="inlineStr">
        <is>
          <t>WEEKLY LOG — one row per week, oldest first</t>
        </is>
      </c>
      <c r="B54" s="18" t="n"/>
      <c r="C54" s="18" t="n"/>
      <c r="D54" s="18" t="n"/>
      <c r="E54" s="18" t="n"/>
      <c r="F54" s="18" t="n"/>
      <c r="G54" s="18" t="n"/>
      <c r="H54" s="18" t="n"/>
      <c r="I54" s="18" t="n"/>
      <c r="J54" s="18" t="n"/>
      <c r="K54" s="18" t="n"/>
      <c r="L54" s="18" t="n"/>
    </row>
    <row r="55" ht="34" customHeight="1">
      <c r="A55" s="22" t="inlineStr">
        <is>
          <t>Count Date</t>
        </is>
      </c>
      <c r="B55" s="22" t="inlineStr">
        <is>
          <t>Burnsville Repair Tickets</t>
        </is>
      </c>
      <c r="C55" s="22" t="inlineStr">
        <is>
          <t>Burnsville PMs</t>
        </is>
      </c>
      <c r="D55" s="22" t="inlineStr">
        <is>
          <t>Burnsville Total</t>
        </is>
      </c>
      <c r="E55" s="22" t="inlineStr">
        <is>
          <t>Lakeville Repair Tickets</t>
        </is>
      </c>
      <c r="F55" s="22" t="inlineStr">
        <is>
          <t>Lakeville PMs</t>
        </is>
      </c>
      <c r="G55" s="22" t="inlineStr">
        <is>
          <t>Lakeville Total</t>
        </is>
      </c>
      <c r="H55" s="22" t="inlineStr">
        <is>
          <t>Repair Tickets Both Plants</t>
        </is>
      </c>
      <c r="I55" s="22" t="inlineStr">
        <is>
          <t>PMs Both Plants</t>
        </is>
      </c>
      <c r="J55" s="22" t="inlineStr">
        <is>
          <t>All Open Both Plants</t>
        </is>
      </c>
      <c r="K55" s="22" t="inlineStr">
        <is>
          <t>Change vs Previous Entry</t>
        </is>
      </c>
      <c r="L55" s="22" t="inlineStr">
        <is>
          <t>Notes</t>
        </is>
      </c>
    </row>
    <row r="56">
      <c r="A56" s="23">
        <f>IFERROR(INDEX(Totals!$A$1:$OJ$1,MATCH(1,Totals!$A$31:$OJ$31,0)+1),"")</f>
        <v/>
      </c>
      <c r="B56" s="24">
        <f>IFERROR(INDEX(Totals!$A$4:$OJ$4,MATCH(1,Totals!$A$31:$OJ$31,0)),"")</f>
        <v/>
      </c>
      <c r="C56" s="24">
        <f>IFERROR(INDEX(Totals!$A$5:$OJ$5,MATCH(1,Totals!$A$31:$OJ$31,0)),"")</f>
        <v/>
      </c>
      <c r="D56" s="24">
        <f>IF(A56="","",B56+C56)</f>
        <v/>
      </c>
      <c r="E56" s="24">
        <f>IFERROR(INDEX(Totals!$A$9:$OJ$9,MATCH(1,Totals!$A$31:$OJ$31,0)),"")</f>
        <v/>
      </c>
      <c r="F56" s="24">
        <f>IFERROR(INDEX(Totals!$A$10:$OJ$10,MATCH(1,Totals!$A$31:$OJ$31,0)),"")</f>
        <v/>
      </c>
      <c r="G56" s="24">
        <f>IF(A56="","",E56+F56)</f>
        <v/>
      </c>
      <c r="H56" s="25">
        <f>IF(A56="","",B56+E56)</f>
        <v/>
      </c>
      <c r="I56" s="25">
        <f>IF(A56="","",C56+F56)</f>
        <v/>
      </c>
      <c r="J56" s="25">
        <f>IF(A56="","",D56+G56)</f>
        <v/>
      </c>
      <c r="K56" s="26" t="inlineStr"/>
      <c r="L56" s="27">
        <f>IFERROR(IF(INDEX(Totals!$A$15:$OJ$15,MATCH(1,Totals!$A$31:$OJ$31,0)+1)=0,"",INDEX(Totals!$A$15:$OJ$15,MATCH(1,Totals!$A$31:$OJ$31,0)+1)),"")</f>
        <v/>
      </c>
    </row>
    <row r="57">
      <c r="A57" s="23">
        <f>IFERROR(INDEX(Totals!$A$1:$OJ$1,MATCH(2,Totals!$A$31:$OJ$31,0)+1),"")</f>
        <v/>
      </c>
      <c r="B57" s="24">
        <f>IFERROR(INDEX(Totals!$A$4:$OJ$4,MATCH(2,Totals!$A$31:$OJ$31,0)),"")</f>
        <v/>
      </c>
      <c r="C57" s="24">
        <f>IFERROR(INDEX(Totals!$A$5:$OJ$5,MATCH(2,Totals!$A$31:$OJ$31,0)),"")</f>
        <v/>
      </c>
      <c r="D57" s="24">
        <f>IF(A57="","",B57+C57)</f>
        <v/>
      </c>
      <c r="E57" s="24">
        <f>IFERROR(INDEX(Totals!$A$9:$OJ$9,MATCH(2,Totals!$A$31:$OJ$31,0)),"")</f>
        <v/>
      </c>
      <c r="F57" s="24">
        <f>IFERROR(INDEX(Totals!$A$10:$OJ$10,MATCH(2,Totals!$A$31:$OJ$31,0)),"")</f>
        <v/>
      </c>
      <c r="G57" s="24">
        <f>IF(A57="","",E57+F57)</f>
        <v/>
      </c>
      <c r="H57" s="25">
        <f>IF(A57="","",B57+E57)</f>
        <v/>
      </c>
      <c r="I57" s="25">
        <f>IF(A57="","",C57+F57)</f>
        <v/>
      </c>
      <c r="J57" s="25">
        <f>IF(A57="","",D57+G57)</f>
        <v/>
      </c>
      <c r="K57" s="26">
        <f>IF(OR(A57="",J56=""),"",J57-J56)</f>
        <v/>
      </c>
      <c r="L57" s="27">
        <f>IFERROR(IF(INDEX(Totals!$A$15:$OJ$15,MATCH(2,Totals!$A$31:$OJ$31,0)+1)=0,"",INDEX(Totals!$A$15:$OJ$15,MATCH(2,Totals!$A$31:$OJ$31,0)+1)),"")</f>
        <v/>
      </c>
    </row>
    <row r="58">
      <c r="A58" s="23">
        <f>IFERROR(INDEX(Totals!$A$1:$OJ$1,MATCH(3,Totals!$A$31:$OJ$31,0)+1),"")</f>
        <v/>
      </c>
      <c r="B58" s="24">
        <f>IFERROR(INDEX(Totals!$A$4:$OJ$4,MATCH(3,Totals!$A$31:$OJ$31,0)),"")</f>
        <v/>
      </c>
      <c r="C58" s="24">
        <f>IFERROR(INDEX(Totals!$A$5:$OJ$5,MATCH(3,Totals!$A$31:$OJ$31,0)),"")</f>
        <v/>
      </c>
      <c r="D58" s="24">
        <f>IF(A58="","",B58+C58)</f>
        <v/>
      </c>
      <c r="E58" s="24">
        <f>IFERROR(INDEX(Totals!$A$9:$OJ$9,MATCH(3,Totals!$A$31:$OJ$31,0)),"")</f>
        <v/>
      </c>
      <c r="F58" s="24">
        <f>IFERROR(INDEX(Totals!$A$10:$OJ$10,MATCH(3,Totals!$A$31:$OJ$31,0)),"")</f>
        <v/>
      </c>
      <c r="G58" s="24">
        <f>IF(A58="","",E58+F58)</f>
        <v/>
      </c>
      <c r="H58" s="25">
        <f>IF(A58="","",B58+E58)</f>
        <v/>
      </c>
      <c r="I58" s="25">
        <f>IF(A58="","",C58+F58)</f>
        <v/>
      </c>
      <c r="J58" s="25">
        <f>IF(A58="","",D58+G58)</f>
        <v/>
      </c>
      <c r="K58" s="26">
        <f>IF(OR(A58="",J57=""),"",J58-J57)</f>
        <v/>
      </c>
      <c r="L58" s="27">
        <f>IFERROR(IF(INDEX(Totals!$A$15:$OJ$15,MATCH(3,Totals!$A$31:$OJ$31,0)+1)=0,"",INDEX(Totals!$A$15:$OJ$15,MATCH(3,Totals!$A$31:$OJ$31,0)+1)),"")</f>
        <v/>
      </c>
    </row>
    <row r="59">
      <c r="A59" s="23">
        <f>IFERROR(INDEX(Totals!$A$1:$OJ$1,MATCH(4,Totals!$A$31:$OJ$31,0)+1),"")</f>
        <v/>
      </c>
      <c r="B59" s="24">
        <f>IFERROR(INDEX(Totals!$A$4:$OJ$4,MATCH(4,Totals!$A$31:$OJ$31,0)),"")</f>
        <v/>
      </c>
      <c r="C59" s="24">
        <f>IFERROR(INDEX(Totals!$A$5:$OJ$5,MATCH(4,Totals!$A$31:$OJ$31,0)),"")</f>
        <v/>
      </c>
      <c r="D59" s="24">
        <f>IF(A59="","",B59+C59)</f>
        <v/>
      </c>
      <c r="E59" s="24">
        <f>IFERROR(INDEX(Totals!$A$9:$OJ$9,MATCH(4,Totals!$A$31:$OJ$31,0)),"")</f>
        <v/>
      </c>
      <c r="F59" s="24">
        <f>IFERROR(INDEX(Totals!$A$10:$OJ$10,MATCH(4,Totals!$A$31:$OJ$31,0)),"")</f>
        <v/>
      </c>
      <c r="G59" s="24">
        <f>IF(A59="","",E59+F59)</f>
        <v/>
      </c>
      <c r="H59" s="25">
        <f>IF(A59="","",B59+E59)</f>
        <v/>
      </c>
      <c r="I59" s="25">
        <f>IF(A59="","",C59+F59)</f>
        <v/>
      </c>
      <c r="J59" s="25">
        <f>IF(A59="","",D59+G59)</f>
        <v/>
      </c>
      <c r="K59" s="26">
        <f>IF(OR(A59="",J58=""),"",J59-J58)</f>
        <v/>
      </c>
      <c r="L59" s="27">
        <f>IFERROR(IF(INDEX(Totals!$A$15:$OJ$15,MATCH(4,Totals!$A$31:$OJ$31,0)+1)=0,"",INDEX(Totals!$A$15:$OJ$15,MATCH(4,Totals!$A$31:$OJ$31,0)+1)),"")</f>
        <v/>
      </c>
    </row>
    <row r="60">
      <c r="A60" s="23">
        <f>IFERROR(INDEX(Totals!$A$1:$OJ$1,MATCH(5,Totals!$A$31:$OJ$31,0)+1),"")</f>
        <v/>
      </c>
      <c r="B60" s="24">
        <f>IFERROR(INDEX(Totals!$A$4:$OJ$4,MATCH(5,Totals!$A$31:$OJ$31,0)),"")</f>
        <v/>
      </c>
      <c r="C60" s="24">
        <f>IFERROR(INDEX(Totals!$A$5:$OJ$5,MATCH(5,Totals!$A$31:$OJ$31,0)),"")</f>
        <v/>
      </c>
      <c r="D60" s="24">
        <f>IF(A60="","",B60+C60)</f>
        <v/>
      </c>
      <c r="E60" s="24">
        <f>IFERROR(INDEX(Totals!$A$9:$OJ$9,MATCH(5,Totals!$A$31:$OJ$31,0)),"")</f>
        <v/>
      </c>
      <c r="F60" s="24">
        <f>IFERROR(INDEX(Totals!$A$10:$OJ$10,MATCH(5,Totals!$A$31:$OJ$31,0)),"")</f>
        <v/>
      </c>
      <c r="G60" s="24">
        <f>IF(A60="","",E60+F60)</f>
        <v/>
      </c>
      <c r="H60" s="25">
        <f>IF(A60="","",B60+E60)</f>
        <v/>
      </c>
      <c r="I60" s="25">
        <f>IF(A60="","",C60+F60)</f>
        <v/>
      </c>
      <c r="J60" s="25">
        <f>IF(A60="","",D60+G60)</f>
        <v/>
      </c>
      <c r="K60" s="26">
        <f>IF(OR(A60="",J59=""),"",J60-J59)</f>
        <v/>
      </c>
      <c r="L60" s="27">
        <f>IFERROR(IF(INDEX(Totals!$A$15:$OJ$15,MATCH(5,Totals!$A$31:$OJ$31,0)+1)=0,"",INDEX(Totals!$A$15:$OJ$15,MATCH(5,Totals!$A$31:$OJ$31,0)+1)),"")</f>
        <v/>
      </c>
    </row>
    <row r="61">
      <c r="A61" s="23">
        <f>IFERROR(INDEX(Totals!$A$1:$OJ$1,MATCH(6,Totals!$A$31:$OJ$31,0)+1),"")</f>
        <v/>
      </c>
      <c r="B61" s="24">
        <f>IFERROR(INDEX(Totals!$A$4:$OJ$4,MATCH(6,Totals!$A$31:$OJ$31,0)),"")</f>
        <v/>
      </c>
      <c r="C61" s="24">
        <f>IFERROR(INDEX(Totals!$A$5:$OJ$5,MATCH(6,Totals!$A$31:$OJ$31,0)),"")</f>
        <v/>
      </c>
      <c r="D61" s="24">
        <f>IF(A61="","",B61+C61)</f>
        <v/>
      </c>
      <c r="E61" s="24">
        <f>IFERROR(INDEX(Totals!$A$9:$OJ$9,MATCH(6,Totals!$A$31:$OJ$31,0)),"")</f>
        <v/>
      </c>
      <c r="F61" s="24">
        <f>IFERROR(INDEX(Totals!$A$10:$OJ$10,MATCH(6,Totals!$A$31:$OJ$31,0)),"")</f>
        <v/>
      </c>
      <c r="G61" s="24">
        <f>IF(A61="","",E61+F61)</f>
        <v/>
      </c>
      <c r="H61" s="25">
        <f>IF(A61="","",B61+E61)</f>
        <v/>
      </c>
      <c r="I61" s="25">
        <f>IF(A61="","",C61+F61)</f>
        <v/>
      </c>
      <c r="J61" s="25">
        <f>IF(A61="","",D61+G61)</f>
        <v/>
      </c>
      <c r="K61" s="26">
        <f>IF(OR(A61="",J60=""),"",J61-J60)</f>
        <v/>
      </c>
      <c r="L61" s="27">
        <f>IFERROR(IF(INDEX(Totals!$A$15:$OJ$15,MATCH(6,Totals!$A$31:$OJ$31,0)+1)=0,"",INDEX(Totals!$A$15:$OJ$15,MATCH(6,Totals!$A$31:$OJ$31,0)+1)),"")</f>
        <v/>
      </c>
    </row>
    <row r="62">
      <c r="A62" s="23">
        <f>IFERROR(INDEX(Totals!$A$1:$OJ$1,MATCH(7,Totals!$A$31:$OJ$31,0)+1),"")</f>
        <v/>
      </c>
      <c r="B62" s="24">
        <f>IFERROR(INDEX(Totals!$A$4:$OJ$4,MATCH(7,Totals!$A$31:$OJ$31,0)),"")</f>
        <v/>
      </c>
      <c r="C62" s="24">
        <f>IFERROR(INDEX(Totals!$A$5:$OJ$5,MATCH(7,Totals!$A$31:$OJ$31,0)),"")</f>
        <v/>
      </c>
      <c r="D62" s="24">
        <f>IF(A62="","",B62+C62)</f>
        <v/>
      </c>
      <c r="E62" s="24">
        <f>IFERROR(INDEX(Totals!$A$9:$OJ$9,MATCH(7,Totals!$A$31:$OJ$31,0)),"")</f>
        <v/>
      </c>
      <c r="F62" s="24">
        <f>IFERROR(INDEX(Totals!$A$10:$OJ$10,MATCH(7,Totals!$A$31:$OJ$31,0)),"")</f>
        <v/>
      </c>
      <c r="G62" s="24">
        <f>IF(A62="","",E62+F62)</f>
        <v/>
      </c>
      <c r="H62" s="25">
        <f>IF(A62="","",B62+E62)</f>
        <v/>
      </c>
      <c r="I62" s="25">
        <f>IF(A62="","",C62+F62)</f>
        <v/>
      </c>
      <c r="J62" s="25">
        <f>IF(A62="","",D62+G62)</f>
        <v/>
      </c>
      <c r="K62" s="26">
        <f>IF(OR(A62="",J61=""),"",J62-J61)</f>
        <v/>
      </c>
      <c r="L62" s="27">
        <f>IFERROR(IF(INDEX(Totals!$A$15:$OJ$15,MATCH(7,Totals!$A$31:$OJ$31,0)+1)=0,"",INDEX(Totals!$A$15:$OJ$15,MATCH(7,Totals!$A$31:$OJ$31,0)+1)),"")</f>
        <v/>
      </c>
    </row>
    <row r="63">
      <c r="A63" s="23">
        <f>IFERROR(INDEX(Totals!$A$1:$OJ$1,MATCH(8,Totals!$A$31:$OJ$31,0)+1),"")</f>
        <v/>
      </c>
      <c r="B63" s="24">
        <f>IFERROR(INDEX(Totals!$A$4:$OJ$4,MATCH(8,Totals!$A$31:$OJ$31,0)),"")</f>
        <v/>
      </c>
      <c r="C63" s="24">
        <f>IFERROR(INDEX(Totals!$A$5:$OJ$5,MATCH(8,Totals!$A$31:$OJ$31,0)),"")</f>
        <v/>
      </c>
      <c r="D63" s="24">
        <f>IF(A63="","",B63+C63)</f>
        <v/>
      </c>
      <c r="E63" s="24">
        <f>IFERROR(INDEX(Totals!$A$9:$OJ$9,MATCH(8,Totals!$A$31:$OJ$31,0)),"")</f>
        <v/>
      </c>
      <c r="F63" s="24">
        <f>IFERROR(INDEX(Totals!$A$10:$OJ$10,MATCH(8,Totals!$A$31:$OJ$31,0)),"")</f>
        <v/>
      </c>
      <c r="G63" s="24">
        <f>IF(A63="","",E63+F63)</f>
        <v/>
      </c>
      <c r="H63" s="25">
        <f>IF(A63="","",B63+E63)</f>
        <v/>
      </c>
      <c r="I63" s="25">
        <f>IF(A63="","",C63+F63)</f>
        <v/>
      </c>
      <c r="J63" s="25">
        <f>IF(A63="","",D63+G63)</f>
        <v/>
      </c>
      <c r="K63" s="26">
        <f>IF(OR(A63="",J62=""),"",J63-J62)</f>
        <v/>
      </c>
      <c r="L63" s="27">
        <f>IFERROR(IF(INDEX(Totals!$A$15:$OJ$15,MATCH(8,Totals!$A$31:$OJ$31,0)+1)=0,"",INDEX(Totals!$A$15:$OJ$15,MATCH(8,Totals!$A$31:$OJ$31,0)+1)),"")</f>
        <v/>
      </c>
    </row>
    <row r="64">
      <c r="A64" s="23">
        <f>IFERROR(INDEX(Totals!$A$1:$OJ$1,MATCH(9,Totals!$A$31:$OJ$31,0)+1),"")</f>
        <v/>
      </c>
      <c r="B64" s="24">
        <f>IFERROR(INDEX(Totals!$A$4:$OJ$4,MATCH(9,Totals!$A$31:$OJ$31,0)),"")</f>
        <v/>
      </c>
      <c r="C64" s="24">
        <f>IFERROR(INDEX(Totals!$A$5:$OJ$5,MATCH(9,Totals!$A$31:$OJ$31,0)),"")</f>
        <v/>
      </c>
      <c r="D64" s="24">
        <f>IF(A64="","",B64+C64)</f>
        <v/>
      </c>
      <c r="E64" s="24">
        <f>IFERROR(INDEX(Totals!$A$9:$OJ$9,MATCH(9,Totals!$A$31:$OJ$31,0)),"")</f>
        <v/>
      </c>
      <c r="F64" s="24">
        <f>IFERROR(INDEX(Totals!$A$10:$OJ$10,MATCH(9,Totals!$A$31:$OJ$31,0)),"")</f>
        <v/>
      </c>
      <c r="G64" s="24">
        <f>IF(A64="","",E64+F64)</f>
        <v/>
      </c>
      <c r="H64" s="25">
        <f>IF(A64="","",B64+E64)</f>
        <v/>
      </c>
      <c r="I64" s="25">
        <f>IF(A64="","",C64+F64)</f>
        <v/>
      </c>
      <c r="J64" s="25">
        <f>IF(A64="","",D64+G64)</f>
        <v/>
      </c>
      <c r="K64" s="26">
        <f>IF(OR(A64="",J63=""),"",J64-J63)</f>
        <v/>
      </c>
      <c r="L64" s="27">
        <f>IFERROR(IF(INDEX(Totals!$A$15:$OJ$15,MATCH(9,Totals!$A$31:$OJ$31,0)+1)=0,"",INDEX(Totals!$A$15:$OJ$15,MATCH(9,Totals!$A$31:$OJ$31,0)+1)),"")</f>
        <v/>
      </c>
    </row>
    <row r="65">
      <c r="A65" s="23">
        <f>IFERROR(INDEX(Totals!$A$1:$OJ$1,MATCH(10,Totals!$A$31:$OJ$31,0)+1),"")</f>
        <v/>
      </c>
      <c r="B65" s="24">
        <f>IFERROR(INDEX(Totals!$A$4:$OJ$4,MATCH(10,Totals!$A$31:$OJ$31,0)),"")</f>
        <v/>
      </c>
      <c r="C65" s="24">
        <f>IFERROR(INDEX(Totals!$A$5:$OJ$5,MATCH(10,Totals!$A$31:$OJ$31,0)),"")</f>
        <v/>
      </c>
      <c r="D65" s="24">
        <f>IF(A65="","",B65+C65)</f>
        <v/>
      </c>
      <c r="E65" s="24">
        <f>IFERROR(INDEX(Totals!$A$9:$OJ$9,MATCH(10,Totals!$A$31:$OJ$31,0)),"")</f>
        <v/>
      </c>
      <c r="F65" s="24">
        <f>IFERROR(INDEX(Totals!$A$10:$OJ$10,MATCH(10,Totals!$A$31:$OJ$31,0)),"")</f>
        <v/>
      </c>
      <c r="G65" s="24">
        <f>IF(A65="","",E65+F65)</f>
        <v/>
      </c>
      <c r="H65" s="25">
        <f>IF(A65="","",B65+E65)</f>
        <v/>
      </c>
      <c r="I65" s="25">
        <f>IF(A65="","",C65+F65)</f>
        <v/>
      </c>
      <c r="J65" s="25">
        <f>IF(A65="","",D65+G65)</f>
        <v/>
      </c>
      <c r="K65" s="26">
        <f>IF(OR(A65="",J64=""),"",J65-J64)</f>
        <v/>
      </c>
      <c r="L65" s="27">
        <f>IFERROR(IF(INDEX(Totals!$A$15:$OJ$15,MATCH(10,Totals!$A$31:$OJ$31,0)+1)=0,"",INDEX(Totals!$A$15:$OJ$15,MATCH(10,Totals!$A$31:$OJ$31,0)+1)),"")</f>
        <v/>
      </c>
    </row>
    <row r="66">
      <c r="A66" s="23">
        <f>IFERROR(INDEX(Totals!$A$1:$OJ$1,MATCH(11,Totals!$A$31:$OJ$31,0)+1),"")</f>
        <v/>
      </c>
      <c r="B66" s="24">
        <f>IFERROR(INDEX(Totals!$A$4:$OJ$4,MATCH(11,Totals!$A$31:$OJ$31,0)),"")</f>
        <v/>
      </c>
      <c r="C66" s="24">
        <f>IFERROR(INDEX(Totals!$A$5:$OJ$5,MATCH(11,Totals!$A$31:$OJ$31,0)),"")</f>
        <v/>
      </c>
      <c r="D66" s="24">
        <f>IF(A66="","",B66+C66)</f>
        <v/>
      </c>
      <c r="E66" s="24">
        <f>IFERROR(INDEX(Totals!$A$9:$OJ$9,MATCH(11,Totals!$A$31:$OJ$31,0)),"")</f>
        <v/>
      </c>
      <c r="F66" s="24">
        <f>IFERROR(INDEX(Totals!$A$10:$OJ$10,MATCH(11,Totals!$A$31:$OJ$31,0)),"")</f>
        <v/>
      </c>
      <c r="G66" s="24">
        <f>IF(A66="","",E66+F66)</f>
        <v/>
      </c>
      <c r="H66" s="25">
        <f>IF(A66="","",B66+E66)</f>
        <v/>
      </c>
      <c r="I66" s="25">
        <f>IF(A66="","",C66+F66)</f>
        <v/>
      </c>
      <c r="J66" s="25">
        <f>IF(A66="","",D66+G66)</f>
        <v/>
      </c>
      <c r="K66" s="26">
        <f>IF(OR(A66="",J65=""),"",J66-J65)</f>
        <v/>
      </c>
      <c r="L66" s="27">
        <f>IFERROR(IF(INDEX(Totals!$A$15:$OJ$15,MATCH(11,Totals!$A$31:$OJ$31,0)+1)=0,"",INDEX(Totals!$A$15:$OJ$15,MATCH(11,Totals!$A$31:$OJ$31,0)+1)),"")</f>
        <v/>
      </c>
    </row>
    <row r="67">
      <c r="A67" s="23">
        <f>IFERROR(INDEX(Totals!$A$1:$OJ$1,MATCH(12,Totals!$A$31:$OJ$31,0)+1),"")</f>
        <v/>
      </c>
      <c r="B67" s="24">
        <f>IFERROR(INDEX(Totals!$A$4:$OJ$4,MATCH(12,Totals!$A$31:$OJ$31,0)),"")</f>
        <v/>
      </c>
      <c r="C67" s="24">
        <f>IFERROR(INDEX(Totals!$A$5:$OJ$5,MATCH(12,Totals!$A$31:$OJ$31,0)),"")</f>
        <v/>
      </c>
      <c r="D67" s="24">
        <f>IF(A67="","",B67+C67)</f>
        <v/>
      </c>
      <c r="E67" s="24">
        <f>IFERROR(INDEX(Totals!$A$9:$OJ$9,MATCH(12,Totals!$A$31:$OJ$31,0)),"")</f>
        <v/>
      </c>
      <c r="F67" s="24">
        <f>IFERROR(INDEX(Totals!$A$10:$OJ$10,MATCH(12,Totals!$A$31:$OJ$31,0)),"")</f>
        <v/>
      </c>
      <c r="G67" s="24">
        <f>IF(A67="","",E67+F67)</f>
        <v/>
      </c>
      <c r="H67" s="25">
        <f>IF(A67="","",B67+E67)</f>
        <v/>
      </c>
      <c r="I67" s="25">
        <f>IF(A67="","",C67+F67)</f>
        <v/>
      </c>
      <c r="J67" s="25">
        <f>IF(A67="","",D67+G67)</f>
        <v/>
      </c>
      <c r="K67" s="26">
        <f>IF(OR(A67="",J66=""),"",J67-J66)</f>
        <v/>
      </c>
      <c r="L67" s="27">
        <f>IFERROR(IF(INDEX(Totals!$A$15:$OJ$15,MATCH(12,Totals!$A$31:$OJ$31,0)+1)=0,"",INDEX(Totals!$A$15:$OJ$15,MATCH(12,Totals!$A$31:$OJ$31,0)+1)),"")</f>
        <v/>
      </c>
    </row>
    <row r="68">
      <c r="A68" s="23">
        <f>IFERROR(INDEX(Totals!$A$1:$OJ$1,MATCH(13,Totals!$A$31:$OJ$31,0)+1),"")</f>
        <v/>
      </c>
      <c r="B68" s="24">
        <f>IFERROR(INDEX(Totals!$A$4:$OJ$4,MATCH(13,Totals!$A$31:$OJ$31,0)),"")</f>
        <v/>
      </c>
      <c r="C68" s="24">
        <f>IFERROR(INDEX(Totals!$A$5:$OJ$5,MATCH(13,Totals!$A$31:$OJ$31,0)),"")</f>
        <v/>
      </c>
      <c r="D68" s="24">
        <f>IF(A68="","",B68+C68)</f>
        <v/>
      </c>
      <c r="E68" s="24">
        <f>IFERROR(INDEX(Totals!$A$9:$OJ$9,MATCH(13,Totals!$A$31:$OJ$31,0)),"")</f>
        <v/>
      </c>
      <c r="F68" s="24">
        <f>IFERROR(INDEX(Totals!$A$10:$OJ$10,MATCH(13,Totals!$A$31:$OJ$31,0)),"")</f>
        <v/>
      </c>
      <c r="G68" s="24">
        <f>IF(A68="","",E68+F68)</f>
        <v/>
      </c>
      <c r="H68" s="25">
        <f>IF(A68="","",B68+E68)</f>
        <v/>
      </c>
      <c r="I68" s="25">
        <f>IF(A68="","",C68+F68)</f>
        <v/>
      </c>
      <c r="J68" s="25">
        <f>IF(A68="","",D68+G68)</f>
        <v/>
      </c>
      <c r="K68" s="26">
        <f>IF(OR(A68="",J67=""),"",J68-J67)</f>
        <v/>
      </c>
      <c r="L68" s="27">
        <f>IFERROR(IF(INDEX(Totals!$A$15:$OJ$15,MATCH(13,Totals!$A$31:$OJ$31,0)+1)=0,"",INDEX(Totals!$A$15:$OJ$15,MATCH(13,Totals!$A$31:$OJ$31,0)+1)),"")</f>
        <v/>
      </c>
    </row>
    <row r="69">
      <c r="A69" s="23">
        <f>IFERROR(INDEX(Totals!$A$1:$OJ$1,MATCH(14,Totals!$A$31:$OJ$31,0)+1),"")</f>
        <v/>
      </c>
      <c r="B69" s="24">
        <f>IFERROR(INDEX(Totals!$A$4:$OJ$4,MATCH(14,Totals!$A$31:$OJ$31,0)),"")</f>
        <v/>
      </c>
      <c r="C69" s="24">
        <f>IFERROR(INDEX(Totals!$A$5:$OJ$5,MATCH(14,Totals!$A$31:$OJ$31,0)),"")</f>
        <v/>
      </c>
      <c r="D69" s="24">
        <f>IF(A69="","",B69+C69)</f>
        <v/>
      </c>
      <c r="E69" s="24">
        <f>IFERROR(INDEX(Totals!$A$9:$OJ$9,MATCH(14,Totals!$A$31:$OJ$31,0)),"")</f>
        <v/>
      </c>
      <c r="F69" s="24">
        <f>IFERROR(INDEX(Totals!$A$10:$OJ$10,MATCH(14,Totals!$A$31:$OJ$31,0)),"")</f>
        <v/>
      </c>
      <c r="G69" s="24">
        <f>IF(A69="","",E69+F69)</f>
        <v/>
      </c>
      <c r="H69" s="25">
        <f>IF(A69="","",B69+E69)</f>
        <v/>
      </c>
      <c r="I69" s="25">
        <f>IF(A69="","",C69+F69)</f>
        <v/>
      </c>
      <c r="J69" s="25">
        <f>IF(A69="","",D69+G69)</f>
        <v/>
      </c>
      <c r="K69" s="26">
        <f>IF(OR(A69="",J68=""),"",J69-J68)</f>
        <v/>
      </c>
      <c r="L69" s="27">
        <f>IFERROR(IF(INDEX(Totals!$A$15:$OJ$15,MATCH(14,Totals!$A$31:$OJ$31,0)+1)=0,"",INDEX(Totals!$A$15:$OJ$15,MATCH(14,Totals!$A$31:$OJ$31,0)+1)),"")</f>
        <v/>
      </c>
    </row>
    <row r="70">
      <c r="A70" s="23">
        <f>IFERROR(INDEX(Totals!$A$1:$OJ$1,MATCH(15,Totals!$A$31:$OJ$31,0)+1),"")</f>
        <v/>
      </c>
      <c r="B70" s="24">
        <f>IFERROR(INDEX(Totals!$A$4:$OJ$4,MATCH(15,Totals!$A$31:$OJ$31,0)),"")</f>
        <v/>
      </c>
      <c r="C70" s="24">
        <f>IFERROR(INDEX(Totals!$A$5:$OJ$5,MATCH(15,Totals!$A$31:$OJ$31,0)),"")</f>
        <v/>
      </c>
      <c r="D70" s="24">
        <f>IF(A70="","",B70+C70)</f>
        <v/>
      </c>
      <c r="E70" s="24">
        <f>IFERROR(INDEX(Totals!$A$9:$OJ$9,MATCH(15,Totals!$A$31:$OJ$31,0)),"")</f>
        <v/>
      </c>
      <c r="F70" s="24">
        <f>IFERROR(INDEX(Totals!$A$10:$OJ$10,MATCH(15,Totals!$A$31:$OJ$31,0)),"")</f>
        <v/>
      </c>
      <c r="G70" s="24">
        <f>IF(A70="","",E70+F70)</f>
        <v/>
      </c>
      <c r="H70" s="25">
        <f>IF(A70="","",B70+E70)</f>
        <v/>
      </c>
      <c r="I70" s="25">
        <f>IF(A70="","",C70+F70)</f>
        <v/>
      </c>
      <c r="J70" s="25">
        <f>IF(A70="","",D70+G70)</f>
        <v/>
      </c>
      <c r="K70" s="26">
        <f>IF(OR(A70="",J69=""),"",J70-J69)</f>
        <v/>
      </c>
      <c r="L70" s="27">
        <f>IFERROR(IF(INDEX(Totals!$A$15:$OJ$15,MATCH(15,Totals!$A$31:$OJ$31,0)+1)=0,"",INDEX(Totals!$A$15:$OJ$15,MATCH(15,Totals!$A$31:$OJ$31,0)+1)),"")</f>
        <v/>
      </c>
    </row>
    <row r="71">
      <c r="A71" s="23">
        <f>IFERROR(INDEX(Totals!$A$1:$OJ$1,MATCH(16,Totals!$A$31:$OJ$31,0)+1),"")</f>
        <v/>
      </c>
      <c r="B71" s="24">
        <f>IFERROR(INDEX(Totals!$A$4:$OJ$4,MATCH(16,Totals!$A$31:$OJ$31,0)),"")</f>
        <v/>
      </c>
      <c r="C71" s="24">
        <f>IFERROR(INDEX(Totals!$A$5:$OJ$5,MATCH(16,Totals!$A$31:$OJ$31,0)),"")</f>
        <v/>
      </c>
      <c r="D71" s="24">
        <f>IF(A71="","",B71+C71)</f>
        <v/>
      </c>
      <c r="E71" s="24">
        <f>IFERROR(INDEX(Totals!$A$9:$OJ$9,MATCH(16,Totals!$A$31:$OJ$31,0)),"")</f>
        <v/>
      </c>
      <c r="F71" s="24">
        <f>IFERROR(INDEX(Totals!$A$10:$OJ$10,MATCH(16,Totals!$A$31:$OJ$31,0)),"")</f>
        <v/>
      </c>
      <c r="G71" s="24">
        <f>IF(A71="","",E71+F71)</f>
        <v/>
      </c>
      <c r="H71" s="25">
        <f>IF(A71="","",B71+E71)</f>
        <v/>
      </c>
      <c r="I71" s="25">
        <f>IF(A71="","",C71+F71)</f>
        <v/>
      </c>
      <c r="J71" s="25">
        <f>IF(A71="","",D71+G71)</f>
        <v/>
      </c>
      <c r="K71" s="26">
        <f>IF(OR(A71="",J70=""),"",J71-J70)</f>
        <v/>
      </c>
      <c r="L71" s="27">
        <f>IFERROR(IF(INDEX(Totals!$A$15:$OJ$15,MATCH(16,Totals!$A$31:$OJ$31,0)+1)=0,"",INDEX(Totals!$A$15:$OJ$15,MATCH(16,Totals!$A$31:$OJ$31,0)+1)),"")</f>
        <v/>
      </c>
    </row>
    <row r="72">
      <c r="A72" s="23">
        <f>IFERROR(INDEX(Totals!$A$1:$OJ$1,MATCH(17,Totals!$A$31:$OJ$31,0)+1),"")</f>
        <v/>
      </c>
      <c r="B72" s="24">
        <f>IFERROR(INDEX(Totals!$A$4:$OJ$4,MATCH(17,Totals!$A$31:$OJ$31,0)),"")</f>
        <v/>
      </c>
      <c r="C72" s="24">
        <f>IFERROR(INDEX(Totals!$A$5:$OJ$5,MATCH(17,Totals!$A$31:$OJ$31,0)),"")</f>
        <v/>
      </c>
      <c r="D72" s="24">
        <f>IF(A72="","",B72+C72)</f>
        <v/>
      </c>
      <c r="E72" s="24">
        <f>IFERROR(INDEX(Totals!$A$9:$OJ$9,MATCH(17,Totals!$A$31:$OJ$31,0)),"")</f>
        <v/>
      </c>
      <c r="F72" s="24">
        <f>IFERROR(INDEX(Totals!$A$10:$OJ$10,MATCH(17,Totals!$A$31:$OJ$31,0)),"")</f>
        <v/>
      </c>
      <c r="G72" s="24">
        <f>IF(A72="","",E72+F72)</f>
        <v/>
      </c>
      <c r="H72" s="25">
        <f>IF(A72="","",B72+E72)</f>
        <v/>
      </c>
      <c r="I72" s="25">
        <f>IF(A72="","",C72+F72)</f>
        <v/>
      </c>
      <c r="J72" s="25">
        <f>IF(A72="","",D72+G72)</f>
        <v/>
      </c>
      <c r="K72" s="26">
        <f>IF(OR(A72="",J71=""),"",J72-J71)</f>
        <v/>
      </c>
      <c r="L72" s="27">
        <f>IFERROR(IF(INDEX(Totals!$A$15:$OJ$15,MATCH(17,Totals!$A$31:$OJ$31,0)+1)=0,"",INDEX(Totals!$A$15:$OJ$15,MATCH(17,Totals!$A$31:$OJ$31,0)+1)),"")</f>
        <v/>
      </c>
    </row>
    <row r="73">
      <c r="A73" s="23">
        <f>IFERROR(INDEX(Totals!$A$1:$OJ$1,MATCH(18,Totals!$A$31:$OJ$31,0)+1),"")</f>
        <v/>
      </c>
      <c r="B73" s="24">
        <f>IFERROR(INDEX(Totals!$A$4:$OJ$4,MATCH(18,Totals!$A$31:$OJ$31,0)),"")</f>
        <v/>
      </c>
      <c r="C73" s="24">
        <f>IFERROR(INDEX(Totals!$A$5:$OJ$5,MATCH(18,Totals!$A$31:$OJ$31,0)),"")</f>
        <v/>
      </c>
      <c r="D73" s="24">
        <f>IF(A73="","",B73+C73)</f>
        <v/>
      </c>
      <c r="E73" s="24">
        <f>IFERROR(INDEX(Totals!$A$9:$OJ$9,MATCH(18,Totals!$A$31:$OJ$31,0)),"")</f>
        <v/>
      </c>
      <c r="F73" s="24">
        <f>IFERROR(INDEX(Totals!$A$10:$OJ$10,MATCH(18,Totals!$A$31:$OJ$31,0)),"")</f>
        <v/>
      </c>
      <c r="G73" s="24">
        <f>IF(A73="","",E73+F73)</f>
        <v/>
      </c>
      <c r="H73" s="25">
        <f>IF(A73="","",B73+E73)</f>
        <v/>
      </c>
      <c r="I73" s="25">
        <f>IF(A73="","",C73+F73)</f>
        <v/>
      </c>
      <c r="J73" s="25">
        <f>IF(A73="","",D73+G73)</f>
        <v/>
      </c>
      <c r="K73" s="26">
        <f>IF(OR(A73="",J72=""),"",J73-J72)</f>
        <v/>
      </c>
      <c r="L73" s="27">
        <f>IFERROR(IF(INDEX(Totals!$A$15:$OJ$15,MATCH(18,Totals!$A$31:$OJ$31,0)+1)=0,"",INDEX(Totals!$A$15:$OJ$15,MATCH(18,Totals!$A$31:$OJ$31,0)+1)),"")</f>
        <v/>
      </c>
    </row>
    <row r="74">
      <c r="A74" s="23">
        <f>IFERROR(INDEX(Totals!$A$1:$OJ$1,MATCH(19,Totals!$A$31:$OJ$31,0)+1),"")</f>
        <v/>
      </c>
      <c r="B74" s="24">
        <f>IFERROR(INDEX(Totals!$A$4:$OJ$4,MATCH(19,Totals!$A$31:$OJ$31,0)),"")</f>
        <v/>
      </c>
      <c r="C74" s="24">
        <f>IFERROR(INDEX(Totals!$A$5:$OJ$5,MATCH(19,Totals!$A$31:$OJ$31,0)),"")</f>
        <v/>
      </c>
      <c r="D74" s="24">
        <f>IF(A74="","",B74+C74)</f>
        <v/>
      </c>
      <c r="E74" s="24">
        <f>IFERROR(INDEX(Totals!$A$9:$OJ$9,MATCH(19,Totals!$A$31:$OJ$31,0)),"")</f>
        <v/>
      </c>
      <c r="F74" s="24">
        <f>IFERROR(INDEX(Totals!$A$10:$OJ$10,MATCH(19,Totals!$A$31:$OJ$31,0)),"")</f>
        <v/>
      </c>
      <c r="G74" s="24">
        <f>IF(A74="","",E74+F74)</f>
        <v/>
      </c>
      <c r="H74" s="25">
        <f>IF(A74="","",B74+E74)</f>
        <v/>
      </c>
      <c r="I74" s="25">
        <f>IF(A74="","",C74+F74)</f>
        <v/>
      </c>
      <c r="J74" s="25">
        <f>IF(A74="","",D74+G74)</f>
        <v/>
      </c>
      <c r="K74" s="26">
        <f>IF(OR(A74="",J73=""),"",J74-J73)</f>
        <v/>
      </c>
      <c r="L74" s="27">
        <f>IFERROR(IF(INDEX(Totals!$A$15:$OJ$15,MATCH(19,Totals!$A$31:$OJ$31,0)+1)=0,"",INDEX(Totals!$A$15:$OJ$15,MATCH(19,Totals!$A$31:$OJ$31,0)+1)),"")</f>
        <v/>
      </c>
    </row>
    <row r="75">
      <c r="A75" s="23">
        <f>IFERROR(INDEX(Totals!$A$1:$OJ$1,MATCH(20,Totals!$A$31:$OJ$31,0)+1),"")</f>
        <v/>
      </c>
      <c r="B75" s="24">
        <f>IFERROR(INDEX(Totals!$A$4:$OJ$4,MATCH(20,Totals!$A$31:$OJ$31,0)),"")</f>
        <v/>
      </c>
      <c r="C75" s="24">
        <f>IFERROR(INDEX(Totals!$A$5:$OJ$5,MATCH(20,Totals!$A$31:$OJ$31,0)),"")</f>
        <v/>
      </c>
      <c r="D75" s="24">
        <f>IF(A75="","",B75+C75)</f>
        <v/>
      </c>
      <c r="E75" s="24">
        <f>IFERROR(INDEX(Totals!$A$9:$OJ$9,MATCH(20,Totals!$A$31:$OJ$31,0)),"")</f>
        <v/>
      </c>
      <c r="F75" s="24">
        <f>IFERROR(INDEX(Totals!$A$10:$OJ$10,MATCH(20,Totals!$A$31:$OJ$31,0)),"")</f>
        <v/>
      </c>
      <c r="G75" s="24">
        <f>IF(A75="","",E75+F75)</f>
        <v/>
      </c>
      <c r="H75" s="25">
        <f>IF(A75="","",B75+E75)</f>
        <v/>
      </c>
      <c r="I75" s="25">
        <f>IF(A75="","",C75+F75)</f>
        <v/>
      </c>
      <c r="J75" s="25">
        <f>IF(A75="","",D75+G75)</f>
        <v/>
      </c>
      <c r="K75" s="26">
        <f>IF(OR(A75="",J74=""),"",J75-J74)</f>
        <v/>
      </c>
      <c r="L75" s="27">
        <f>IFERROR(IF(INDEX(Totals!$A$15:$OJ$15,MATCH(20,Totals!$A$31:$OJ$31,0)+1)=0,"",INDEX(Totals!$A$15:$OJ$15,MATCH(20,Totals!$A$31:$OJ$31,0)+1)),"")</f>
        <v/>
      </c>
    </row>
    <row r="76">
      <c r="A76" s="23">
        <f>IFERROR(INDEX(Totals!$A$1:$OJ$1,MATCH(21,Totals!$A$31:$OJ$31,0)+1),"")</f>
        <v/>
      </c>
      <c r="B76" s="24">
        <f>IFERROR(INDEX(Totals!$A$4:$OJ$4,MATCH(21,Totals!$A$31:$OJ$31,0)),"")</f>
        <v/>
      </c>
      <c r="C76" s="24">
        <f>IFERROR(INDEX(Totals!$A$5:$OJ$5,MATCH(21,Totals!$A$31:$OJ$31,0)),"")</f>
        <v/>
      </c>
      <c r="D76" s="24">
        <f>IF(A76="","",B76+C76)</f>
        <v/>
      </c>
      <c r="E76" s="24">
        <f>IFERROR(INDEX(Totals!$A$9:$OJ$9,MATCH(21,Totals!$A$31:$OJ$31,0)),"")</f>
        <v/>
      </c>
      <c r="F76" s="24">
        <f>IFERROR(INDEX(Totals!$A$10:$OJ$10,MATCH(21,Totals!$A$31:$OJ$31,0)),"")</f>
        <v/>
      </c>
      <c r="G76" s="24">
        <f>IF(A76="","",E76+F76)</f>
        <v/>
      </c>
      <c r="H76" s="25">
        <f>IF(A76="","",B76+E76)</f>
        <v/>
      </c>
      <c r="I76" s="25">
        <f>IF(A76="","",C76+F76)</f>
        <v/>
      </c>
      <c r="J76" s="25">
        <f>IF(A76="","",D76+G76)</f>
        <v/>
      </c>
      <c r="K76" s="26">
        <f>IF(OR(A76="",J75=""),"",J76-J75)</f>
        <v/>
      </c>
      <c r="L76" s="27">
        <f>IFERROR(IF(INDEX(Totals!$A$15:$OJ$15,MATCH(21,Totals!$A$31:$OJ$31,0)+1)=0,"",INDEX(Totals!$A$15:$OJ$15,MATCH(21,Totals!$A$31:$OJ$31,0)+1)),"")</f>
        <v/>
      </c>
    </row>
    <row r="77">
      <c r="A77" s="23">
        <f>IFERROR(INDEX(Totals!$A$1:$OJ$1,MATCH(22,Totals!$A$31:$OJ$31,0)+1),"")</f>
        <v/>
      </c>
      <c r="B77" s="24">
        <f>IFERROR(INDEX(Totals!$A$4:$OJ$4,MATCH(22,Totals!$A$31:$OJ$31,0)),"")</f>
        <v/>
      </c>
      <c r="C77" s="24">
        <f>IFERROR(INDEX(Totals!$A$5:$OJ$5,MATCH(22,Totals!$A$31:$OJ$31,0)),"")</f>
        <v/>
      </c>
      <c r="D77" s="24">
        <f>IF(A77="","",B77+C77)</f>
        <v/>
      </c>
      <c r="E77" s="24">
        <f>IFERROR(INDEX(Totals!$A$9:$OJ$9,MATCH(22,Totals!$A$31:$OJ$31,0)),"")</f>
        <v/>
      </c>
      <c r="F77" s="24">
        <f>IFERROR(INDEX(Totals!$A$10:$OJ$10,MATCH(22,Totals!$A$31:$OJ$31,0)),"")</f>
        <v/>
      </c>
      <c r="G77" s="24">
        <f>IF(A77="","",E77+F77)</f>
        <v/>
      </c>
      <c r="H77" s="25">
        <f>IF(A77="","",B77+E77)</f>
        <v/>
      </c>
      <c r="I77" s="25">
        <f>IF(A77="","",C77+F77)</f>
        <v/>
      </c>
      <c r="J77" s="25">
        <f>IF(A77="","",D77+G77)</f>
        <v/>
      </c>
      <c r="K77" s="26">
        <f>IF(OR(A77="",J76=""),"",J77-J76)</f>
        <v/>
      </c>
      <c r="L77" s="27">
        <f>IFERROR(IF(INDEX(Totals!$A$15:$OJ$15,MATCH(22,Totals!$A$31:$OJ$31,0)+1)=0,"",INDEX(Totals!$A$15:$OJ$15,MATCH(22,Totals!$A$31:$OJ$31,0)+1)),"")</f>
        <v/>
      </c>
    </row>
    <row r="78">
      <c r="A78" s="23">
        <f>IFERROR(INDEX(Totals!$A$1:$OJ$1,MATCH(23,Totals!$A$31:$OJ$31,0)+1),"")</f>
        <v/>
      </c>
      <c r="B78" s="24">
        <f>IFERROR(INDEX(Totals!$A$4:$OJ$4,MATCH(23,Totals!$A$31:$OJ$31,0)),"")</f>
        <v/>
      </c>
      <c r="C78" s="24">
        <f>IFERROR(INDEX(Totals!$A$5:$OJ$5,MATCH(23,Totals!$A$31:$OJ$31,0)),"")</f>
        <v/>
      </c>
      <c r="D78" s="24">
        <f>IF(A78="","",B78+C78)</f>
        <v/>
      </c>
      <c r="E78" s="24">
        <f>IFERROR(INDEX(Totals!$A$9:$OJ$9,MATCH(23,Totals!$A$31:$OJ$31,0)),"")</f>
        <v/>
      </c>
      <c r="F78" s="24">
        <f>IFERROR(INDEX(Totals!$A$10:$OJ$10,MATCH(23,Totals!$A$31:$OJ$31,0)),"")</f>
        <v/>
      </c>
      <c r="G78" s="24">
        <f>IF(A78="","",E78+F78)</f>
        <v/>
      </c>
      <c r="H78" s="25">
        <f>IF(A78="","",B78+E78)</f>
        <v/>
      </c>
      <c r="I78" s="25">
        <f>IF(A78="","",C78+F78)</f>
        <v/>
      </c>
      <c r="J78" s="25">
        <f>IF(A78="","",D78+G78)</f>
        <v/>
      </c>
      <c r="K78" s="26">
        <f>IF(OR(A78="",J77=""),"",J78-J77)</f>
        <v/>
      </c>
      <c r="L78" s="27">
        <f>IFERROR(IF(INDEX(Totals!$A$15:$OJ$15,MATCH(23,Totals!$A$31:$OJ$31,0)+1)=0,"",INDEX(Totals!$A$15:$OJ$15,MATCH(23,Totals!$A$31:$OJ$31,0)+1)),"")</f>
        <v/>
      </c>
    </row>
    <row r="79">
      <c r="A79" s="23">
        <f>IFERROR(INDEX(Totals!$A$1:$OJ$1,MATCH(24,Totals!$A$31:$OJ$31,0)+1),"")</f>
        <v/>
      </c>
      <c r="B79" s="24">
        <f>IFERROR(INDEX(Totals!$A$4:$OJ$4,MATCH(24,Totals!$A$31:$OJ$31,0)),"")</f>
        <v/>
      </c>
      <c r="C79" s="24">
        <f>IFERROR(INDEX(Totals!$A$5:$OJ$5,MATCH(24,Totals!$A$31:$OJ$31,0)),"")</f>
        <v/>
      </c>
      <c r="D79" s="24">
        <f>IF(A79="","",B79+C79)</f>
        <v/>
      </c>
      <c r="E79" s="24">
        <f>IFERROR(INDEX(Totals!$A$9:$OJ$9,MATCH(24,Totals!$A$31:$OJ$31,0)),"")</f>
        <v/>
      </c>
      <c r="F79" s="24">
        <f>IFERROR(INDEX(Totals!$A$10:$OJ$10,MATCH(24,Totals!$A$31:$OJ$31,0)),"")</f>
        <v/>
      </c>
      <c r="G79" s="24">
        <f>IF(A79="","",E79+F79)</f>
        <v/>
      </c>
      <c r="H79" s="25">
        <f>IF(A79="","",B79+E79)</f>
        <v/>
      </c>
      <c r="I79" s="25">
        <f>IF(A79="","",C79+F79)</f>
        <v/>
      </c>
      <c r="J79" s="25">
        <f>IF(A79="","",D79+G79)</f>
        <v/>
      </c>
      <c r="K79" s="26">
        <f>IF(OR(A79="",J78=""),"",J79-J78)</f>
        <v/>
      </c>
      <c r="L79" s="27">
        <f>IFERROR(IF(INDEX(Totals!$A$15:$OJ$15,MATCH(24,Totals!$A$31:$OJ$31,0)+1)=0,"",INDEX(Totals!$A$15:$OJ$15,MATCH(24,Totals!$A$31:$OJ$31,0)+1)),"")</f>
        <v/>
      </c>
    </row>
    <row r="80">
      <c r="A80" s="23">
        <f>IFERROR(INDEX(Totals!$A$1:$OJ$1,MATCH(25,Totals!$A$31:$OJ$31,0)+1),"")</f>
        <v/>
      </c>
      <c r="B80" s="24">
        <f>IFERROR(INDEX(Totals!$A$4:$OJ$4,MATCH(25,Totals!$A$31:$OJ$31,0)),"")</f>
        <v/>
      </c>
      <c r="C80" s="24">
        <f>IFERROR(INDEX(Totals!$A$5:$OJ$5,MATCH(25,Totals!$A$31:$OJ$31,0)),"")</f>
        <v/>
      </c>
      <c r="D80" s="24">
        <f>IF(A80="","",B80+C80)</f>
        <v/>
      </c>
      <c r="E80" s="24">
        <f>IFERROR(INDEX(Totals!$A$9:$OJ$9,MATCH(25,Totals!$A$31:$OJ$31,0)),"")</f>
        <v/>
      </c>
      <c r="F80" s="24">
        <f>IFERROR(INDEX(Totals!$A$10:$OJ$10,MATCH(25,Totals!$A$31:$OJ$31,0)),"")</f>
        <v/>
      </c>
      <c r="G80" s="24">
        <f>IF(A80="","",E80+F80)</f>
        <v/>
      </c>
      <c r="H80" s="25">
        <f>IF(A80="","",B80+E80)</f>
        <v/>
      </c>
      <c r="I80" s="25">
        <f>IF(A80="","",C80+F80)</f>
        <v/>
      </c>
      <c r="J80" s="25">
        <f>IF(A80="","",D80+G80)</f>
        <v/>
      </c>
      <c r="K80" s="26">
        <f>IF(OR(A80="",J79=""),"",J80-J79)</f>
        <v/>
      </c>
      <c r="L80" s="27">
        <f>IFERROR(IF(INDEX(Totals!$A$15:$OJ$15,MATCH(25,Totals!$A$31:$OJ$31,0)+1)=0,"",INDEX(Totals!$A$15:$OJ$15,MATCH(25,Totals!$A$31:$OJ$31,0)+1)),"")</f>
        <v/>
      </c>
    </row>
    <row r="81">
      <c r="A81" s="23">
        <f>IFERROR(INDEX(Totals!$A$1:$OJ$1,MATCH(26,Totals!$A$31:$OJ$31,0)+1),"")</f>
        <v/>
      </c>
      <c r="B81" s="24">
        <f>IFERROR(INDEX(Totals!$A$4:$OJ$4,MATCH(26,Totals!$A$31:$OJ$31,0)),"")</f>
        <v/>
      </c>
      <c r="C81" s="24">
        <f>IFERROR(INDEX(Totals!$A$5:$OJ$5,MATCH(26,Totals!$A$31:$OJ$31,0)),"")</f>
        <v/>
      </c>
      <c r="D81" s="24">
        <f>IF(A81="","",B81+C81)</f>
        <v/>
      </c>
      <c r="E81" s="24">
        <f>IFERROR(INDEX(Totals!$A$9:$OJ$9,MATCH(26,Totals!$A$31:$OJ$31,0)),"")</f>
        <v/>
      </c>
      <c r="F81" s="24">
        <f>IFERROR(INDEX(Totals!$A$10:$OJ$10,MATCH(26,Totals!$A$31:$OJ$31,0)),"")</f>
        <v/>
      </c>
      <c r="G81" s="24">
        <f>IF(A81="","",E81+F81)</f>
        <v/>
      </c>
      <c r="H81" s="25">
        <f>IF(A81="","",B81+E81)</f>
        <v/>
      </c>
      <c r="I81" s="25">
        <f>IF(A81="","",C81+F81)</f>
        <v/>
      </c>
      <c r="J81" s="25">
        <f>IF(A81="","",D81+G81)</f>
        <v/>
      </c>
      <c r="K81" s="26">
        <f>IF(OR(A81="",J80=""),"",J81-J80)</f>
        <v/>
      </c>
      <c r="L81" s="27">
        <f>IFERROR(IF(INDEX(Totals!$A$15:$OJ$15,MATCH(26,Totals!$A$31:$OJ$31,0)+1)=0,"",INDEX(Totals!$A$15:$OJ$15,MATCH(26,Totals!$A$31:$OJ$31,0)+1)),"")</f>
        <v/>
      </c>
    </row>
    <row r="82">
      <c r="A82" s="23">
        <f>IFERROR(INDEX(Totals!$A$1:$OJ$1,MATCH(27,Totals!$A$31:$OJ$31,0)+1),"")</f>
        <v/>
      </c>
      <c r="B82" s="24">
        <f>IFERROR(INDEX(Totals!$A$4:$OJ$4,MATCH(27,Totals!$A$31:$OJ$31,0)),"")</f>
        <v/>
      </c>
      <c r="C82" s="24">
        <f>IFERROR(INDEX(Totals!$A$5:$OJ$5,MATCH(27,Totals!$A$31:$OJ$31,0)),"")</f>
        <v/>
      </c>
      <c r="D82" s="24">
        <f>IF(A82="","",B82+C82)</f>
        <v/>
      </c>
      <c r="E82" s="24">
        <f>IFERROR(INDEX(Totals!$A$9:$OJ$9,MATCH(27,Totals!$A$31:$OJ$31,0)),"")</f>
        <v/>
      </c>
      <c r="F82" s="24">
        <f>IFERROR(INDEX(Totals!$A$10:$OJ$10,MATCH(27,Totals!$A$31:$OJ$31,0)),"")</f>
        <v/>
      </c>
      <c r="G82" s="24">
        <f>IF(A82="","",E82+F82)</f>
        <v/>
      </c>
      <c r="H82" s="25">
        <f>IF(A82="","",B82+E82)</f>
        <v/>
      </c>
      <c r="I82" s="25">
        <f>IF(A82="","",C82+F82)</f>
        <v/>
      </c>
      <c r="J82" s="25">
        <f>IF(A82="","",D82+G82)</f>
        <v/>
      </c>
      <c r="K82" s="26">
        <f>IF(OR(A82="",J81=""),"",J82-J81)</f>
        <v/>
      </c>
      <c r="L82" s="27">
        <f>IFERROR(IF(INDEX(Totals!$A$15:$OJ$15,MATCH(27,Totals!$A$31:$OJ$31,0)+1)=0,"",INDEX(Totals!$A$15:$OJ$15,MATCH(27,Totals!$A$31:$OJ$31,0)+1)),"")</f>
        <v/>
      </c>
    </row>
    <row r="83">
      <c r="A83" s="23">
        <f>IFERROR(INDEX(Totals!$A$1:$OJ$1,MATCH(28,Totals!$A$31:$OJ$31,0)+1),"")</f>
        <v/>
      </c>
      <c r="B83" s="24">
        <f>IFERROR(INDEX(Totals!$A$4:$OJ$4,MATCH(28,Totals!$A$31:$OJ$31,0)),"")</f>
        <v/>
      </c>
      <c r="C83" s="24">
        <f>IFERROR(INDEX(Totals!$A$5:$OJ$5,MATCH(28,Totals!$A$31:$OJ$31,0)),"")</f>
        <v/>
      </c>
      <c r="D83" s="24">
        <f>IF(A83="","",B83+C83)</f>
        <v/>
      </c>
      <c r="E83" s="24">
        <f>IFERROR(INDEX(Totals!$A$9:$OJ$9,MATCH(28,Totals!$A$31:$OJ$31,0)),"")</f>
        <v/>
      </c>
      <c r="F83" s="24">
        <f>IFERROR(INDEX(Totals!$A$10:$OJ$10,MATCH(28,Totals!$A$31:$OJ$31,0)),"")</f>
        <v/>
      </c>
      <c r="G83" s="24">
        <f>IF(A83="","",E83+F83)</f>
        <v/>
      </c>
      <c r="H83" s="25">
        <f>IF(A83="","",B83+E83)</f>
        <v/>
      </c>
      <c r="I83" s="25">
        <f>IF(A83="","",C83+F83)</f>
        <v/>
      </c>
      <c r="J83" s="25">
        <f>IF(A83="","",D83+G83)</f>
        <v/>
      </c>
      <c r="K83" s="26">
        <f>IF(OR(A83="",J82=""),"",J83-J82)</f>
        <v/>
      </c>
      <c r="L83" s="27">
        <f>IFERROR(IF(INDEX(Totals!$A$15:$OJ$15,MATCH(28,Totals!$A$31:$OJ$31,0)+1)=0,"",INDEX(Totals!$A$15:$OJ$15,MATCH(28,Totals!$A$31:$OJ$31,0)+1)),"")</f>
        <v/>
      </c>
    </row>
    <row r="84">
      <c r="A84" s="23">
        <f>IFERROR(INDEX(Totals!$A$1:$OJ$1,MATCH(29,Totals!$A$31:$OJ$31,0)+1),"")</f>
        <v/>
      </c>
      <c r="B84" s="24">
        <f>IFERROR(INDEX(Totals!$A$4:$OJ$4,MATCH(29,Totals!$A$31:$OJ$31,0)),"")</f>
        <v/>
      </c>
      <c r="C84" s="24">
        <f>IFERROR(INDEX(Totals!$A$5:$OJ$5,MATCH(29,Totals!$A$31:$OJ$31,0)),"")</f>
        <v/>
      </c>
      <c r="D84" s="24">
        <f>IF(A84="","",B84+C84)</f>
        <v/>
      </c>
      <c r="E84" s="24">
        <f>IFERROR(INDEX(Totals!$A$9:$OJ$9,MATCH(29,Totals!$A$31:$OJ$31,0)),"")</f>
        <v/>
      </c>
      <c r="F84" s="24">
        <f>IFERROR(INDEX(Totals!$A$10:$OJ$10,MATCH(29,Totals!$A$31:$OJ$31,0)),"")</f>
        <v/>
      </c>
      <c r="G84" s="24">
        <f>IF(A84="","",E84+F84)</f>
        <v/>
      </c>
      <c r="H84" s="25">
        <f>IF(A84="","",B84+E84)</f>
        <v/>
      </c>
      <c r="I84" s="25">
        <f>IF(A84="","",C84+F84)</f>
        <v/>
      </c>
      <c r="J84" s="25">
        <f>IF(A84="","",D84+G84)</f>
        <v/>
      </c>
      <c r="K84" s="26">
        <f>IF(OR(A84="",J83=""),"",J84-J83)</f>
        <v/>
      </c>
      <c r="L84" s="27">
        <f>IFERROR(IF(INDEX(Totals!$A$15:$OJ$15,MATCH(29,Totals!$A$31:$OJ$31,0)+1)=0,"",INDEX(Totals!$A$15:$OJ$15,MATCH(29,Totals!$A$31:$OJ$31,0)+1)),"")</f>
        <v/>
      </c>
    </row>
    <row r="85">
      <c r="A85" s="23">
        <f>IFERROR(INDEX(Totals!$A$1:$OJ$1,MATCH(30,Totals!$A$31:$OJ$31,0)+1),"")</f>
        <v/>
      </c>
      <c r="B85" s="24">
        <f>IFERROR(INDEX(Totals!$A$4:$OJ$4,MATCH(30,Totals!$A$31:$OJ$31,0)),"")</f>
        <v/>
      </c>
      <c r="C85" s="24">
        <f>IFERROR(INDEX(Totals!$A$5:$OJ$5,MATCH(30,Totals!$A$31:$OJ$31,0)),"")</f>
        <v/>
      </c>
      <c r="D85" s="24">
        <f>IF(A85="","",B85+C85)</f>
        <v/>
      </c>
      <c r="E85" s="24">
        <f>IFERROR(INDEX(Totals!$A$9:$OJ$9,MATCH(30,Totals!$A$31:$OJ$31,0)),"")</f>
        <v/>
      </c>
      <c r="F85" s="24">
        <f>IFERROR(INDEX(Totals!$A$10:$OJ$10,MATCH(30,Totals!$A$31:$OJ$31,0)),"")</f>
        <v/>
      </c>
      <c r="G85" s="24">
        <f>IF(A85="","",E85+F85)</f>
        <v/>
      </c>
      <c r="H85" s="25">
        <f>IF(A85="","",B85+E85)</f>
        <v/>
      </c>
      <c r="I85" s="25">
        <f>IF(A85="","",C85+F85)</f>
        <v/>
      </c>
      <c r="J85" s="25">
        <f>IF(A85="","",D85+G85)</f>
        <v/>
      </c>
      <c r="K85" s="26">
        <f>IF(OR(A85="",J84=""),"",J85-J84)</f>
        <v/>
      </c>
      <c r="L85" s="27">
        <f>IFERROR(IF(INDEX(Totals!$A$15:$OJ$15,MATCH(30,Totals!$A$31:$OJ$31,0)+1)=0,"",INDEX(Totals!$A$15:$OJ$15,MATCH(30,Totals!$A$31:$OJ$31,0)+1)),"")</f>
        <v/>
      </c>
    </row>
    <row r="86">
      <c r="A86" s="23">
        <f>IFERROR(INDEX(Totals!$A$1:$OJ$1,MATCH(31,Totals!$A$31:$OJ$31,0)+1),"")</f>
        <v/>
      </c>
      <c r="B86" s="24">
        <f>IFERROR(INDEX(Totals!$A$4:$OJ$4,MATCH(31,Totals!$A$31:$OJ$31,0)),"")</f>
        <v/>
      </c>
      <c r="C86" s="24">
        <f>IFERROR(INDEX(Totals!$A$5:$OJ$5,MATCH(31,Totals!$A$31:$OJ$31,0)),"")</f>
        <v/>
      </c>
      <c r="D86" s="24">
        <f>IF(A86="","",B86+C86)</f>
        <v/>
      </c>
      <c r="E86" s="24">
        <f>IFERROR(INDEX(Totals!$A$9:$OJ$9,MATCH(31,Totals!$A$31:$OJ$31,0)),"")</f>
        <v/>
      </c>
      <c r="F86" s="24">
        <f>IFERROR(INDEX(Totals!$A$10:$OJ$10,MATCH(31,Totals!$A$31:$OJ$31,0)),"")</f>
        <v/>
      </c>
      <c r="G86" s="24">
        <f>IF(A86="","",E86+F86)</f>
        <v/>
      </c>
      <c r="H86" s="25">
        <f>IF(A86="","",B86+E86)</f>
        <v/>
      </c>
      <c r="I86" s="25">
        <f>IF(A86="","",C86+F86)</f>
        <v/>
      </c>
      <c r="J86" s="25">
        <f>IF(A86="","",D86+G86)</f>
        <v/>
      </c>
      <c r="K86" s="26">
        <f>IF(OR(A86="",J85=""),"",J86-J85)</f>
        <v/>
      </c>
      <c r="L86" s="27">
        <f>IFERROR(IF(INDEX(Totals!$A$15:$OJ$15,MATCH(31,Totals!$A$31:$OJ$31,0)+1)=0,"",INDEX(Totals!$A$15:$OJ$15,MATCH(31,Totals!$A$31:$OJ$31,0)+1)),"")</f>
        <v/>
      </c>
    </row>
    <row r="87">
      <c r="A87" s="23">
        <f>IFERROR(INDEX(Totals!$A$1:$OJ$1,MATCH(32,Totals!$A$31:$OJ$31,0)+1),"")</f>
        <v/>
      </c>
      <c r="B87" s="24">
        <f>IFERROR(INDEX(Totals!$A$4:$OJ$4,MATCH(32,Totals!$A$31:$OJ$31,0)),"")</f>
        <v/>
      </c>
      <c r="C87" s="24">
        <f>IFERROR(INDEX(Totals!$A$5:$OJ$5,MATCH(32,Totals!$A$31:$OJ$31,0)),"")</f>
        <v/>
      </c>
      <c r="D87" s="24">
        <f>IF(A87="","",B87+C87)</f>
        <v/>
      </c>
      <c r="E87" s="24">
        <f>IFERROR(INDEX(Totals!$A$9:$OJ$9,MATCH(32,Totals!$A$31:$OJ$31,0)),"")</f>
        <v/>
      </c>
      <c r="F87" s="24">
        <f>IFERROR(INDEX(Totals!$A$10:$OJ$10,MATCH(32,Totals!$A$31:$OJ$31,0)),"")</f>
        <v/>
      </c>
      <c r="G87" s="24">
        <f>IF(A87="","",E87+F87)</f>
        <v/>
      </c>
      <c r="H87" s="25">
        <f>IF(A87="","",B87+E87)</f>
        <v/>
      </c>
      <c r="I87" s="25">
        <f>IF(A87="","",C87+F87)</f>
        <v/>
      </c>
      <c r="J87" s="25">
        <f>IF(A87="","",D87+G87)</f>
        <v/>
      </c>
      <c r="K87" s="26">
        <f>IF(OR(A87="",J86=""),"",J87-J86)</f>
        <v/>
      </c>
      <c r="L87" s="27">
        <f>IFERROR(IF(INDEX(Totals!$A$15:$OJ$15,MATCH(32,Totals!$A$31:$OJ$31,0)+1)=0,"",INDEX(Totals!$A$15:$OJ$15,MATCH(32,Totals!$A$31:$OJ$31,0)+1)),"")</f>
        <v/>
      </c>
    </row>
    <row r="88">
      <c r="A88" s="23">
        <f>IFERROR(INDEX(Totals!$A$1:$OJ$1,MATCH(33,Totals!$A$31:$OJ$31,0)+1),"")</f>
        <v/>
      </c>
      <c r="B88" s="24">
        <f>IFERROR(INDEX(Totals!$A$4:$OJ$4,MATCH(33,Totals!$A$31:$OJ$31,0)),"")</f>
        <v/>
      </c>
      <c r="C88" s="24">
        <f>IFERROR(INDEX(Totals!$A$5:$OJ$5,MATCH(33,Totals!$A$31:$OJ$31,0)),"")</f>
        <v/>
      </c>
      <c r="D88" s="24">
        <f>IF(A88="","",B88+C88)</f>
        <v/>
      </c>
      <c r="E88" s="24">
        <f>IFERROR(INDEX(Totals!$A$9:$OJ$9,MATCH(33,Totals!$A$31:$OJ$31,0)),"")</f>
        <v/>
      </c>
      <c r="F88" s="24">
        <f>IFERROR(INDEX(Totals!$A$10:$OJ$10,MATCH(33,Totals!$A$31:$OJ$31,0)),"")</f>
        <v/>
      </c>
      <c r="G88" s="24">
        <f>IF(A88="","",E88+F88)</f>
        <v/>
      </c>
      <c r="H88" s="25">
        <f>IF(A88="","",B88+E88)</f>
        <v/>
      </c>
      <c r="I88" s="25">
        <f>IF(A88="","",C88+F88)</f>
        <v/>
      </c>
      <c r="J88" s="25">
        <f>IF(A88="","",D88+G88)</f>
        <v/>
      </c>
      <c r="K88" s="26">
        <f>IF(OR(A88="",J87=""),"",J88-J87)</f>
        <v/>
      </c>
      <c r="L88" s="27">
        <f>IFERROR(IF(INDEX(Totals!$A$15:$OJ$15,MATCH(33,Totals!$A$31:$OJ$31,0)+1)=0,"",INDEX(Totals!$A$15:$OJ$15,MATCH(33,Totals!$A$31:$OJ$31,0)+1)),"")</f>
        <v/>
      </c>
    </row>
    <row r="89">
      <c r="A89" s="23">
        <f>IFERROR(INDEX(Totals!$A$1:$OJ$1,MATCH(34,Totals!$A$31:$OJ$31,0)+1),"")</f>
        <v/>
      </c>
      <c r="B89" s="24">
        <f>IFERROR(INDEX(Totals!$A$4:$OJ$4,MATCH(34,Totals!$A$31:$OJ$31,0)),"")</f>
        <v/>
      </c>
      <c r="C89" s="24">
        <f>IFERROR(INDEX(Totals!$A$5:$OJ$5,MATCH(34,Totals!$A$31:$OJ$31,0)),"")</f>
        <v/>
      </c>
      <c r="D89" s="24">
        <f>IF(A89="","",B89+C89)</f>
        <v/>
      </c>
      <c r="E89" s="24">
        <f>IFERROR(INDEX(Totals!$A$9:$OJ$9,MATCH(34,Totals!$A$31:$OJ$31,0)),"")</f>
        <v/>
      </c>
      <c r="F89" s="24">
        <f>IFERROR(INDEX(Totals!$A$10:$OJ$10,MATCH(34,Totals!$A$31:$OJ$31,0)),"")</f>
        <v/>
      </c>
      <c r="G89" s="24">
        <f>IF(A89="","",E89+F89)</f>
        <v/>
      </c>
      <c r="H89" s="25">
        <f>IF(A89="","",B89+E89)</f>
        <v/>
      </c>
      <c r="I89" s="25">
        <f>IF(A89="","",C89+F89)</f>
        <v/>
      </c>
      <c r="J89" s="25">
        <f>IF(A89="","",D89+G89)</f>
        <v/>
      </c>
      <c r="K89" s="26">
        <f>IF(OR(A89="",J88=""),"",J89-J88)</f>
        <v/>
      </c>
      <c r="L89" s="27">
        <f>IFERROR(IF(INDEX(Totals!$A$15:$OJ$15,MATCH(34,Totals!$A$31:$OJ$31,0)+1)=0,"",INDEX(Totals!$A$15:$OJ$15,MATCH(34,Totals!$A$31:$OJ$31,0)+1)),"")</f>
        <v/>
      </c>
    </row>
    <row r="90">
      <c r="A90" s="23">
        <f>IFERROR(INDEX(Totals!$A$1:$OJ$1,MATCH(35,Totals!$A$31:$OJ$31,0)+1),"")</f>
        <v/>
      </c>
      <c r="B90" s="24">
        <f>IFERROR(INDEX(Totals!$A$4:$OJ$4,MATCH(35,Totals!$A$31:$OJ$31,0)),"")</f>
        <v/>
      </c>
      <c r="C90" s="24">
        <f>IFERROR(INDEX(Totals!$A$5:$OJ$5,MATCH(35,Totals!$A$31:$OJ$31,0)),"")</f>
        <v/>
      </c>
      <c r="D90" s="24">
        <f>IF(A90="","",B90+C90)</f>
        <v/>
      </c>
      <c r="E90" s="24">
        <f>IFERROR(INDEX(Totals!$A$9:$OJ$9,MATCH(35,Totals!$A$31:$OJ$31,0)),"")</f>
        <v/>
      </c>
      <c r="F90" s="24">
        <f>IFERROR(INDEX(Totals!$A$10:$OJ$10,MATCH(35,Totals!$A$31:$OJ$31,0)),"")</f>
        <v/>
      </c>
      <c r="G90" s="24">
        <f>IF(A90="","",E90+F90)</f>
        <v/>
      </c>
      <c r="H90" s="25">
        <f>IF(A90="","",B90+E90)</f>
        <v/>
      </c>
      <c r="I90" s="25">
        <f>IF(A90="","",C90+F90)</f>
        <v/>
      </c>
      <c r="J90" s="25">
        <f>IF(A90="","",D90+G90)</f>
        <v/>
      </c>
      <c r="K90" s="26">
        <f>IF(OR(A90="",J89=""),"",J90-J89)</f>
        <v/>
      </c>
      <c r="L90" s="27">
        <f>IFERROR(IF(INDEX(Totals!$A$15:$OJ$15,MATCH(35,Totals!$A$31:$OJ$31,0)+1)=0,"",INDEX(Totals!$A$15:$OJ$15,MATCH(35,Totals!$A$31:$OJ$31,0)+1)),"")</f>
        <v/>
      </c>
    </row>
    <row r="91">
      <c r="A91" s="23">
        <f>IFERROR(INDEX(Totals!$A$1:$OJ$1,MATCH(36,Totals!$A$31:$OJ$31,0)+1),"")</f>
        <v/>
      </c>
      <c r="B91" s="24">
        <f>IFERROR(INDEX(Totals!$A$4:$OJ$4,MATCH(36,Totals!$A$31:$OJ$31,0)),"")</f>
        <v/>
      </c>
      <c r="C91" s="24">
        <f>IFERROR(INDEX(Totals!$A$5:$OJ$5,MATCH(36,Totals!$A$31:$OJ$31,0)),"")</f>
        <v/>
      </c>
      <c r="D91" s="24">
        <f>IF(A91="","",B91+C91)</f>
        <v/>
      </c>
      <c r="E91" s="24">
        <f>IFERROR(INDEX(Totals!$A$9:$OJ$9,MATCH(36,Totals!$A$31:$OJ$31,0)),"")</f>
        <v/>
      </c>
      <c r="F91" s="24">
        <f>IFERROR(INDEX(Totals!$A$10:$OJ$10,MATCH(36,Totals!$A$31:$OJ$31,0)),"")</f>
        <v/>
      </c>
      <c r="G91" s="24">
        <f>IF(A91="","",E91+F91)</f>
        <v/>
      </c>
      <c r="H91" s="25">
        <f>IF(A91="","",B91+E91)</f>
        <v/>
      </c>
      <c r="I91" s="25">
        <f>IF(A91="","",C91+F91)</f>
        <v/>
      </c>
      <c r="J91" s="25">
        <f>IF(A91="","",D91+G91)</f>
        <v/>
      </c>
      <c r="K91" s="26">
        <f>IF(OR(A91="",J90=""),"",J91-J90)</f>
        <v/>
      </c>
      <c r="L91" s="27">
        <f>IFERROR(IF(INDEX(Totals!$A$15:$OJ$15,MATCH(36,Totals!$A$31:$OJ$31,0)+1)=0,"",INDEX(Totals!$A$15:$OJ$15,MATCH(36,Totals!$A$31:$OJ$31,0)+1)),"")</f>
        <v/>
      </c>
    </row>
    <row r="92">
      <c r="A92" s="23">
        <f>IFERROR(INDEX(Totals!$A$1:$OJ$1,MATCH(37,Totals!$A$31:$OJ$31,0)+1),"")</f>
        <v/>
      </c>
      <c r="B92" s="24">
        <f>IFERROR(INDEX(Totals!$A$4:$OJ$4,MATCH(37,Totals!$A$31:$OJ$31,0)),"")</f>
        <v/>
      </c>
      <c r="C92" s="24">
        <f>IFERROR(INDEX(Totals!$A$5:$OJ$5,MATCH(37,Totals!$A$31:$OJ$31,0)),"")</f>
        <v/>
      </c>
      <c r="D92" s="24">
        <f>IF(A92="","",B92+C92)</f>
        <v/>
      </c>
      <c r="E92" s="24">
        <f>IFERROR(INDEX(Totals!$A$9:$OJ$9,MATCH(37,Totals!$A$31:$OJ$31,0)),"")</f>
        <v/>
      </c>
      <c r="F92" s="24">
        <f>IFERROR(INDEX(Totals!$A$10:$OJ$10,MATCH(37,Totals!$A$31:$OJ$31,0)),"")</f>
        <v/>
      </c>
      <c r="G92" s="24">
        <f>IF(A92="","",E92+F92)</f>
        <v/>
      </c>
      <c r="H92" s="25">
        <f>IF(A92="","",B92+E92)</f>
        <v/>
      </c>
      <c r="I92" s="25">
        <f>IF(A92="","",C92+F92)</f>
        <v/>
      </c>
      <c r="J92" s="25">
        <f>IF(A92="","",D92+G92)</f>
        <v/>
      </c>
      <c r="K92" s="26">
        <f>IF(OR(A92="",J91=""),"",J92-J91)</f>
        <v/>
      </c>
      <c r="L92" s="27">
        <f>IFERROR(IF(INDEX(Totals!$A$15:$OJ$15,MATCH(37,Totals!$A$31:$OJ$31,0)+1)=0,"",INDEX(Totals!$A$15:$OJ$15,MATCH(37,Totals!$A$31:$OJ$31,0)+1)),"")</f>
        <v/>
      </c>
    </row>
    <row r="93">
      <c r="A93" s="23">
        <f>IFERROR(INDEX(Totals!$A$1:$OJ$1,MATCH(38,Totals!$A$31:$OJ$31,0)+1),"")</f>
        <v/>
      </c>
      <c r="B93" s="24">
        <f>IFERROR(INDEX(Totals!$A$4:$OJ$4,MATCH(38,Totals!$A$31:$OJ$31,0)),"")</f>
        <v/>
      </c>
      <c r="C93" s="24">
        <f>IFERROR(INDEX(Totals!$A$5:$OJ$5,MATCH(38,Totals!$A$31:$OJ$31,0)),"")</f>
        <v/>
      </c>
      <c r="D93" s="24">
        <f>IF(A93="","",B93+C93)</f>
        <v/>
      </c>
      <c r="E93" s="24">
        <f>IFERROR(INDEX(Totals!$A$9:$OJ$9,MATCH(38,Totals!$A$31:$OJ$31,0)),"")</f>
        <v/>
      </c>
      <c r="F93" s="24">
        <f>IFERROR(INDEX(Totals!$A$10:$OJ$10,MATCH(38,Totals!$A$31:$OJ$31,0)),"")</f>
        <v/>
      </c>
      <c r="G93" s="24">
        <f>IF(A93="","",E93+F93)</f>
        <v/>
      </c>
      <c r="H93" s="25">
        <f>IF(A93="","",B93+E93)</f>
        <v/>
      </c>
      <c r="I93" s="25">
        <f>IF(A93="","",C93+F93)</f>
        <v/>
      </c>
      <c r="J93" s="25">
        <f>IF(A93="","",D93+G93)</f>
        <v/>
      </c>
      <c r="K93" s="26">
        <f>IF(OR(A93="",J92=""),"",J93-J92)</f>
        <v/>
      </c>
      <c r="L93" s="27">
        <f>IFERROR(IF(INDEX(Totals!$A$15:$OJ$15,MATCH(38,Totals!$A$31:$OJ$31,0)+1)=0,"",INDEX(Totals!$A$15:$OJ$15,MATCH(38,Totals!$A$31:$OJ$31,0)+1)),"")</f>
        <v/>
      </c>
    </row>
    <row r="94">
      <c r="A94" s="23">
        <f>IFERROR(INDEX(Totals!$A$1:$OJ$1,MATCH(39,Totals!$A$31:$OJ$31,0)+1),"")</f>
        <v/>
      </c>
      <c r="B94" s="24">
        <f>IFERROR(INDEX(Totals!$A$4:$OJ$4,MATCH(39,Totals!$A$31:$OJ$31,0)),"")</f>
        <v/>
      </c>
      <c r="C94" s="24">
        <f>IFERROR(INDEX(Totals!$A$5:$OJ$5,MATCH(39,Totals!$A$31:$OJ$31,0)),"")</f>
        <v/>
      </c>
      <c r="D94" s="24">
        <f>IF(A94="","",B94+C94)</f>
        <v/>
      </c>
      <c r="E94" s="24">
        <f>IFERROR(INDEX(Totals!$A$9:$OJ$9,MATCH(39,Totals!$A$31:$OJ$31,0)),"")</f>
        <v/>
      </c>
      <c r="F94" s="24">
        <f>IFERROR(INDEX(Totals!$A$10:$OJ$10,MATCH(39,Totals!$A$31:$OJ$31,0)),"")</f>
        <v/>
      </c>
      <c r="G94" s="24">
        <f>IF(A94="","",E94+F94)</f>
        <v/>
      </c>
      <c r="H94" s="25">
        <f>IF(A94="","",B94+E94)</f>
        <v/>
      </c>
      <c r="I94" s="25">
        <f>IF(A94="","",C94+F94)</f>
        <v/>
      </c>
      <c r="J94" s="25">
        <f>IF(A94="","",D94+G94)</f>
        <v/>
      </c>
      <c r="K94" s="26">
        <f>IF(OR(A94="",J93=""),"",J94-J93)</f>
        <v/>
      </c>
      <c r="L94" s="27">
        <f>IFERROR(IF(INDEX(Totals!$A$15:$OJ$15,MATCH(39,Totals!$A$31:$OJ$31,0)+1)=0,"",INDEX(Totals!$A$15:$OJ$15,MATCH(39,Totals!$A$31:$OJ$31,0)+1)),"")</f>
        <v/>
      </c>
    </row>
    <row r="95">
      <c r="A95" s="23">
        <f>IFERROR(INDEX(Totals!$A$1:$OJ$1,MATCH(40,Totals!$A$31:$OJ$31,0)+1),"")</f>
        <v/>
      </c>
      <c r="B95" s="24">
        <f>IFERROR(INDEX(Totals!$A$4:$OJ$4,MATCH(40,Totals!$A$31:$OJ$31,0)),"")</f>
        <v/>
      </c>
      <c r="C95" s="24">
        <f>IFERROR(INDEX(Totals!$A$5:$OJ$5,MATCH(40,Totals!$A$31:$OJ$31,0)),"")</f>
        <v/>
      </c>
      <c r="D95" s="24">
        <f>IF(A95="","",B95+C95)</f>
        <v/>
      </c>
      <c r="E95" s="24">
        <f>IFERROR(INDEX(Totals!$A$9:$OJ$9,MATCH(40,Totals!$A$31:$OJ$31,0)),"")</f>
        <v/>
      </c>
      <c r="F95" s="24">
        <f>IFERROR(INDEX(Totals!$A$10:$OJ$10,MATCH(40,Totals!$A$31:$OJ$31,0)),"")</f>
        <v/>
      </c>
      <c r="G95" s="24">
        <f>IF(A95="","",E95+F95)</f>
        <v/>
      </c>
      <c r="H95" s="25">
        <f>IF(A95="","",B95+E95)</f>
        <v/>
      </c>
      <c r="I95" s="25">
        <f>IF(A95="","",C95+F95)</f>
        <v/>
      </c>
      <c r="J95" s="25">
        <f>IF(A95="","",D95+G95)</f>
        <v/>
      </c>
      <c r="K95" s="26">
        <f>IF(OR(A95="",J94=""),"",J95-J94)</f>
        <v/>
      </c>
      <c r="L95" s="27">
        <f>IFERROR(IF(INDEX(Totals!$A$15:$OJ$15,MATCH(40,Totals!$A$31:$OJ$31,0)+1)=0,"",INDEX(Totals!$A$15:$OJ$15,MATCH(40,Totals!$A$31:$OJ$31,0)+1)),"")</f>
        <v/>
      </c>
    </row>
    <row r="96">
      <c r="A96" s="23">
        <f>IFERROR(INDEX(Totals!$A$1:$OJ$1,MATCH(41,Totals!$A$31:$OJ$31,0)+1),"")</f>
        <v/>
      </c>
      <c r="B96" s="24">
        <f>IFERROR(INDEX(Totals!$A$4:$OJ$4,MATCH(41,Totals!$A$31:$OJ$31,0)),"")</f>
        <v/>
      </c>
      <c r="C96" s="24">
        <f>IFERROR(INDEX(Totals!$A$5:$OJ$5,MATCH(41,Totals!$A$31:$OJ$31,0)),"")</f>
        <v/>
      </c>
      <c r="D96" s="24">
        <f>IF(A96="","",B96+C96)</f>
        <v/>
      </c>
      <c r="E96" s="24">
        <f>IFERROR(INDEX(Totals!$A$9:$OJ$9,MATCH(41,Totals!$A$31:$OJ$31,0)),"")</f>
        <v/>
      </c>
      <c r="F96" s="24">
        <f>IFERROR(INDEX(Totals!$A$10:$OJ$10,MATCH(41,Totals!$A$31:$OJ$31,0)),"")</f>
        <v/>
      </c>
      <c r="G96" s="24">
        <f>IF(A96="","",E96+F96)</f>
        <v/>
      </c>
      <c r="H96" s="25">
        <f>IF(A96="","",B96+E96)</f>
        <v/>
      </c>
      <c r="I96" s="25">
        <f>IF(A96="","",C96+F96)</f>
        <v/>
      </c>
      <c r="J96" s="25">
        <f>IF(A96="","",D96+G96)</f>
        <v/>
      </c>
      <c r="K96" s="26">
        <f>IF(OR(A96="",J95=""),"",J96-J95)</f>
        <v/>
      </c>
      <c r="L96" s="27">
        <f>IFERROR(IF(INDEX(Totals!$A$15:$OJ$15,MATCH(41,Totals!$A$31:$OJ$31,0)+1)=0,"",INDEX(Totals!$A$15:$OJ$15,MATCH(41,Totals!$A$31:$OJ$31,0)+1)),"")</f>
        <v/>
      </c>
    </row>
    <row r="97">
      <c r="A97" s="23">
        <f>IFERROR(INDEX(Totals!$A$1:$OJ$1,MATCH(42,Totals!$A$31:$OJ$31,0)+1),"")</f>
        <v/>
      </c>
      <c r="B97" s="24">
        <f>IFERROR(INDEX(Totals!$A$4:$OJ$4,MATCH(42,Totals!$A$31:$OJ$31,0)),"")</f>
        <v/>
      </c>
      <c r="C97" s="24">
        <f>IFERROR(INDEX(Totals!$A$5:$OJ$5,MATCH(42,Totals!$A$31:$OJ$31,0)),"")</f>
        <v/>
      </c>
      <c r="D97" s="24">
        <f>IF(A97="","",B97+C97)</f>
        <v/>
      </c>
      <c r="E97" s="24">
        <f>IFERROR(INDEX(Totals!$A$9:$OJ$9,MATCH(42,Totals!$A$31:$OJ$31,0)),"")</f>
        <v/>
      </c>
      <c r="F97" s="24">
        <f>IFERROR(INDEX(Totals!$A$10:$OJ$10,MATCH(42,Totals!$A$31:$OJ$31,0)),"")</f>
        <v/>
      </c>
      <c r="G97" s="24">
        <f>IF(A97="","",E97+F97)</f>
        <v/>
      </c>
      <c r="H97" s="25">
        <f>IF(A97="","",B97+E97)</f>
        <v/>
      </c>
      <c r="I97" s="25">
        <f>IF(A97="","",C97+F97)</f>
        <v/>
      </c>
      <c r="J97" s="25">
        <f>IF(A97="","",D97+G97)</f>
        <v/>
      </c>
      <c r="K97" s="26">
        <f>IF(OR(A97="",J96=""),"",J97-J96)</f>
        <v/>
      </c>
      <c r="L97" s="27">
        <f>IFERROR(IF(INDEX(Totals!$A$15:$OJ$15,MATCH(42,Totals!$A$31:$OJ$31,0)+1)=0,"",INDEX(Totals!$A$15:$OJ$15,MATCH(42,Totals!$A$31:$OJ$31,0)+1)),"")</f>
        <v/>
      </c>
    </row>
    <row r="98">
      <c r="A98" s="23">
        <f>IFERROR(INDEX(Totals!$A$1:$OJ$1,MATCH(43,Totals!$A$31:$OJ$31,0)+1),"")</f>
        <v/>
      </c>
      <c r="B98" s="24">
        <f>IFERROR(INDEX(Totals!$A$4:$OJ$4,MATCH(43,Totals!$A$31:$OJ$31,0)),"")</f>
        <v/>
      </c>
      <c r="C98" s="24">
        <f>IFERROR(INDEX(Totals!$A$5:$OJ$5,MATCH(43,Totals!$A$31:$OJ$31,0)),"")</f>
        <v/>
      </c>
      <c r="D98" s="24">
        <f>IF(A98="","",B98+C98)</f>
        <v/>
      </c>
      <c r="E98" s="24">
        <f>IFERROR(INDEX(Totals!$A$9:$OJ$9,MATCH(43,Totals!$A$31:$OJ$31,0)),"")</f>
        <v/>
      </c>
      <c r="F98" s="24">
        <f>IFERROR(INDEX(Totals!$A$10:$OJ$10,MATCH(43,Totals!$A$31:$OJ$31,0)),"")</f>
        <v/>
      </c>
      <c r="G98" s="24">
        <f>IF(A98="","",E98+F98)</f>
        <v/>
      </c>
      <c r="H98" s="25">
        <f>IF(A98="","",B98+E98)</f>
        <v/>
      </c>
      <c r="I98" s="25">
        <f>IF(A98="","",C98+F98)</f>
        <v/>
      </c>
      <c r="J98" s="25">
        <f>IF(A98="","",D98+G98)</f>
        <v/>
      </c>
      <c r="K98" s="26">
        <f>IF(OR(A98="",J97=""),"",J98-J97)</f>
        <v/>
      </c>
      <c r="L98" s="27">
        <f>IFERROR(IF(INDEX(Totals!$A$15:$OJ$15,MATCH(43,Totals!$A$31:$OJ$31,0)+1)=0,"",INDEX(Totals!$A$15:$OJ$15,MATCH(43,Totals!$A$31:$OJ$31,0)+1)),"")</f>
        <v/>
      </c>
    </row>
    <row r="99">
      <c r="A99" s="23">
        <f>IFERROR(INDEX(Totals!$A$1:$OJ$1,MATCH(44,Totals!$A$31:$OJ$31,0)+1),"")</f>
        <v/>
      </c>
      <c r="B99" s="24">
        <f>IFERROR(INDEX(Totals!$A$4:$OJ$4,MATCH(44,Totals!$A$31:$OJ$31,0)),"")</f>
        <v/>
      </c>
      <c r="C99" s="24">
        <f>IFERROR(INDEX(Totals!$A$5:$OJ$5,MATCH(44,Totals!$A$31:$OJ$31,0)),"")</f>
        <v/>
      </c>
      <c r="D99" s="24">
        <f>IF(A99="","",B99+C99)</f>
        <v/>
      </c>
      <c r="E99" s="24">
        <f>IFERROR(INDEX(Totals!$A$9:$OJ$9,MATCH(44,Totals!$A$31:$OJ$31,0)),"")</f>
        <v/>
      </c>
      <c r="F99" s="24">
        <f>IFERROR(INDEX(Totals!$A$10:$OJ$10,MATCH(44,Totals!$A$31:$OJ$31,0)),"")</f>
        <v/>
      </c>
      <c r="G99" s="24">
        <f>IF(A99="","",E99+F99)</f>
        <v/>
      </c>
      <c r="H99" s="25">
        <f>IF(A99="","",B99+E99)</f>
        <v/>
      </c>
      <c r="I99" s="25">
        <f>IF(A99="","",C99+F99)</f>
        <v/>
      </c>
      <c r="J99" s="25">
        <f>IF(A99="","",D99+G99)</f>
        <v/>
      </c>
      <c r="K99" s="26">
        <f>IF(OR(A99="",J98=""),"",J99-J98)</f>
        <v/>
      </c>
      <c r="L99" s="27">
        <f>IFERROR(IF(INDEX(Totals!$A$15:$OJ$15,MATCH(44,Totals!$A$31:$OJ$31,0)+1)=0,"",INDEX(Totals!$A$15:$OJ$15,MATCH(44,Totals!$A$31:$OJ$31,0)+1)),"")</f>
        <v/>
      </c>
    </row>
    <row r="100">
      <c r="A100" s="23">
        <f>IFERROR(INDEX(Totals!$A$1:$OJ$1,MATCH(45,Totals!$A$31:$OJ$31,0)+1),"")</f>
        <v/>
      </c>
      <c r="B100" s="24">
        <f>IFERROR(INDEX(Totals!$A$4:$OJ$4,MATCH(45,Totals!$A$31:$OJ$31,0)),"")</f>
        <v/>
      </c>
      <c r="C100" s="24">
        <f>IFERROR(INDEX(Totals!$A$5:$OJ$5,MATCH(45,Totals!$A$31:$OJ$31,0)),"")</f>
        <v/>
      </c>
      <c r="D100" s="24">
        <f>IF(A100="","",B100+C100)</f>
        <v/>
      </c>
      <c r="E100" s="24">
        <f>IFERROR(INDEX(Totals!$A$9:$OJ$9,MATCH(45,Totals!$A$31:$OJ$31,0)),"")</f>
        <v/>
      </c>
      <c r="F100" s="24">
        <f>IFERROR(INDEX(Totals!$A$10:$OJ$10,MATCH(45,Totals!$A$31:$OJ$31,0)),"")</f>
        <v/>
      </c>
      <c r="G100" s="24">
        <f>IF(A100="","",E100+F100)</f>
        <v/>
      </c>
      <c r="H100" s="25">
        <f>IF(A100="","",B100+E100)</f>
        <v/>
      </c>
      <c r="I100" s="25">
        <f>IF(A100="","",C100+F100)</f>
        <v/>
      </c>
      <c r="J100" s="25">
        <f>IF(A100="","",D100+G100)</f>
        <v/>
      </c>
      <c r="K100" s="26">
        <f>IF(OR(A100="",J99=""),"",J100-J99)</f>
        <v/>
      </c>
      <c r="L100" s="27">
        <f>IFERROR(IF(INDEX(Totals!$A$15:$OJ$15,MATCH(45,Totals!$A$31:$OJ$31,0)+1)=0,"",INDEX(Totals!$A$15:$OJ$15,MATCH(45,Totals!$A$31:$OJ$31,0)+1)),"")</f>
        <v/>
      </c>
    </row>
    <row r="101">
      <c r="A101" s="23">
        <f>IFERROR(INDEX(Totals!$A$1:$OJ$1,MATCH(46,Totals!$A$31:$OJ$31,0)+1),"")</f>
        <v/>
      </c>
      <c r="B101" s="24">
        <f>IFERROR(INDEX(Totals!$A$4:$OJ$4,MATCH(46,Totals!$A$31:$OJ$31,0)),"")</f>
        <v/>
      </c>
      <c r="C101" s="24">
        <f>IFERROR(INDEX(Totals!$A$5:$OJ$5,MATCH(46,Totals!$A$31:$OJ$31,0)),"")</f>
        <v/>
      </c>
      <c r="D101" s="24">
        <f>IF(A101="","",B101+C101)</f>
        <v/>
      </c>
      <c r="E101" s="24">
        <f>IFERROR(INDEX(Totals!$A$9:$OJ$9,MATCH(46,Totals!$A$31:$OJ$31,0)),"")</f>
        <v/>
      </c>
      <c r="F101" s="24">
        <f>IFERROR(INDEX(Totals!$A$10:$OJ$10,MATCH(46,Totals!$A$31:$OJ$31,0)),"")</f>
        <v/>
      </c>
      <c r="G101" s="24">
        <f>IF(A101="","",E101+F101)</f>
        <v/>
      </c>
      <c r="H101" s="25">
        <f>IF(A101="","",B101+E101)</f>
        <v/>
      </c>
      <c r="I101" s="25">
        <f>IF(A101="","",C101+F101)</f>
        <v/>
      </c>
      <c r="J101" s="25">
        <f>IF(A101="","",D101+G101)</f>
        <v/>
      </c>
      <c r="K101" s="26">
        <f>IF(OR(A101="",J100=""),"",J101-J100)</f>
        <v/>
      </c>
      <c r="L101" s="27">
        <f>IFERROR(IF(INDEX(Totals!$A$15:$OJ$15,MATCH(46,Totals!$A$31:$OJ$31,0)+1)=0,"",INDEX(Totals!$A$15:$OJ$15,MATCH(46,Totals!$A$31:$OJ$31,0)+1)),"")</f>
        <v/>
      </c>
    </row>
    <row r="102">
      <c r="A102" s="23">
        <f>IFERROR(INDEX(Totals!$A$1:$OJ$1,MATCH(47,Totals!$A$31:$OJ$31,0)+1),"")</f>
        <v/>
      </c>
      <c r="B102" s="24">
        <f>IFERROR(INDEX(Totals!$A$4:$OJ$4,MATCH(47,Totals!$A$31:$OJ$31,0)),"")</f>
        <v/>
      </c>
      <c r="C102" s="24">
        <f>IFERROR(INDEX(Totals!$A$5:$OJ$5,MATCH(47,Totals!$A$31:$OJ$31,0)),"")</f>
        <v/>
      </c>
      <c r="D102" s="24">
        <f>IF(A102="","",B102+C102)</f>
        <v/>
      </c>
      <c r="E102" s="24">
        <f>IFERROR(INDEX(Totals!$A$9:$OJ$9,MATCH(47,Totals!$A$31:$OJ$31,0)),"")</f>
        <v/>
      </c>
      <c r="F102" s="24">
        <f>IFERROR(INDEX(Totals!$A$10:$OJ$10,MATCH(47,Totals!$A$31:$OJ$31,0)),"")</f>
        <v/>
      </c>
      <c r="G102" s="24">
        <f>IF(A102="","",E102+F102)</f>
        <v/>
      </c>
      <c r="H102" s="25">
        <f>IF(A102="","",B102+E102)</f>
        <v/>
      </c>
      <c r="I102" s="25">
        <f>IF(A102="","",C102+F102)</f>
        <v/>
      </c>
      <c r="J102" s="25">
        <f>IF(A102="","",D102+G102)</f>
        <v/>
      </c>
      <c r="K102" s="26">
        <f>IF(OR(A102="",J101=""),"",J102-J101)</f>
        <v/>
      </c>
      <c r="L102" s="27">
        <f>IFERROR(IF(INDEX(Totals!$A$15:$OJ$15,MATCH(47,Totals!$A$31:$OJ$31,0)+1)=0,"",INDEX(Totals!$A$15:$OJ$15,MATCH(47,Totals!$A$31:$OJ$31,0)+1)),"")</f>
        <v/>
      </c>
    </row>
    <row r="103">
      <c r="A103" s="23">
        <f>IFERROR(INDEX(Totals!$A$1:$OJ$1,MATCH(48,Totals!$A$31:$OJ$31,0)+1),"")</f>
        <v/>
      </c>
      <c r="B103" s="24">
        <f>IFERROR(INDEX(Totals!$A$4:$OJ$4,MATCH(48,Totals!$A$31:$OJ$31,0)),"")</f>
        <v/>
      </c>
      <c r="C103" s="24">
        <f>IFERROR(INDEX(Totals!$A$5:$OJ$5,MATCH(48,Totals!$A$31:$OJ$31,0)),"")</f>
        <v/>
      </c>
      <c r="D103" s="24">
        <f>IF(A103="","",B103+C103)</f>
        <v/>
      </c>
      <c r="E103" s="24">
        <f>IFERROR(INDEX(Totals!$A$9:$OJ$9,MATCH(48,Totals!$A$31:$OJ$31,0)),"")</f>
        <v/>
      </c>
      <c r="F103" s="24">
        <f>IFERROR(INDEX(Totals!$A$10:$OJ$10,MATCH(48,Totals!$A$31:$OJ$31,0)),"")</f>
        <v/>
      </c>
      <c r="G103" s="24">
        <f>IF(A103="","",E103+F103)</f>
        <v/>
      </c>
      <c r="H103" s="25">
        <f>IF(A103="","",B103+E103)</f>
        <v/>
      </c>
      <c r="I103" s="25">
        <f>IF(A103="","",C103+F103)</f>
        <v/>
      </c>
      <c r="J103" s="25">
        <f>IF(A103="","",D103+G103)</f>
        <v/>
      </c>
      <c r="K103" s="26">
        <f>IF(OR(A103="",J102=""),"",J103-J102)</f>
        <v/>
      </c>
      <c r="L103" s="27">
        <f>IFERROR(IF(INDEX(Totals!$A$15:$OJ$15,MATCH(48,Totals!$A$31:$OJ$31,0)+1)=0,"",INDEX(Totals!$A$15:$OJ$15,MATCH(48,Totals!$A$31:$OJ$31,0)+1)),"")</f>
        <v/>
      </c>
    </row>
    <row r="104">
      <c r="A104" s="23">
        <f>IFERROR(INDEX(Totals!$A$1:$OJ$1,MATCH(49,Totals!$A$31:$OJ$31,0)+1),"")</f>
        <v/>
      </c>
      <c r="B104" s="24">
        <f>IFERROR(INDEX(Totals!$A$4:$OJ$4,MATCH(49,Totals!$A$31:$OJ$31,0)),"")</f>
        <v/>
      </c>
      <c r="C104" s="24">
        <f>IFERROR(INDEX(Totals!$A$5:$OJ$5,MATCH(49,Totals!$A$31:$OJ$31,0)),"")</f>
        <v/>
      </c>
      <c r="D104" s="24">
        <f>IF(A104="","",B104+C104)</f>
        <v/>
      </c>
      <c r="E104" s="24">
        <f>IFERROR(INDEX(Totals!$A$9:$OJ$9,MATCH(49,Totals!$A$31:$OJ$31,0)),"")</f>
        <v/>
      </c>
      <c r="F104" s="24">
        <f>IFERROR(INDEX(Totals!$A$10:$OJ$10,MATCH(49,Totals!$A$31:$OJ$31,0)),"")</f>
        <v/>
      </c>
      <c r="G104" s="24">
        <f>IF(A104="","",E104+F104)</f>
        <v/>
      </c>
      <c r="H104" s="25">
        <f>IF(A104="","",B104+E104)</f>
        <v/>
      </c>
      <c r="I104" s="25">
        <f>IF(A104="","",C104+F104)</f>
        <v/>
      </c>
      <c r="J104" s="25">
        <f>IF(A104="","",D104+G104)</f>
        <v/>
      </c>
      <c r="K104" s="26">
        <f>IF(OR(A104="",J103=""),"",J104-J103)</f>
        <v/>
      </c>
      <c r="L104" s="27">
        <f>IFERROR(IF(INDEX(Totals!$A$15:$OJ$15,MATCH(49,Totals!$A$31:$OJ$31,0)+1)=0,"",INDEX(Totals!$A$15:$OJ$15,MATCH(49,Totals!$A$31:$OJ$31,0)+1)),"")</f>
        <v/>
      </c>
    </row>
    <row r="105">
      <c r="A105" s="23">
        <f>IFERROR(INDEX(Totals!$A$1:$OJ$1,MATCH(50,Totals!$A$31:$OJ$31,0)+1),"")</f>
        <v/>
      </c>
      <c r="B105" s="24">
        <f>IFERROR(INDEX(Totals!$A$4:$OJ$4,MATCH(50,Totals!$A$31:$OJ$31,0)),"")</f>
        <v/>
      </c>
      <c r="C105" s="24">
        <f>IFERROR(INDEX(Totals!$A$5:$OJ$5,MATCH(50,Totals!$A$31:$OJ$31,0)),"")</f>
        <v/>
      </c>
      <c r="D105" s="24">
        <f>IF(A105="","",B105+C105)</f>
        <v/>
      </c>
      <c r="E105" s="24">
        <f>IFERROR(INDEX(Totals!$A$9:$OJ$9,MATCH(50,Totals!$A$31:$OJ$31,0)),"")</f>
        <v/>
      </c>
      <c r="F105" s="24">
        <f>IFERROR(INDEX(Totals!$A$10:$OJ$10,MATCH(50,Totals!$A$31:$OJ$31,0)),"")</f>
        <v/>
      </c>
      <c r="G105" s="24">
        <f>IF(A105="","",E105+F105)</f>
        <v/>
      </c>
      <c r="H105" s="25">
        <f>IF(A105="","",B105+E105)</f>
        <v/>
      </c>
      <c r="I105" s="25">
        <f>IF(A105="","",C105+F105)</f>
        <v/>
      </c>
      <c r="J105" s="25">
        <f>IF(A105="","",D105+G105)</f>
        <v/>
      </c>
      <c r="K105" s="26">
        <f>IF(OR(A105="",J104=""),"",J105-J104)</f>
        <v/>
      </c>
      <c r="L105" s="27">
        <f>IFERROR(IF(INDEX(Totals!$A$15:$OJ$15,MATCH(50,Totals!$A$31:$OJ$31,0)+1)=0,"",INDEX(Totals!$A$15:$OJ$15,MATCH(50,Totals!$A$31:$OJ$31,0)+1)),"")</f>
        <v/>
      </c>
    </row>
    <row r="106">
      <c r="A106" s="23">
        <f>IFERROR(INDEX(Totals!$A$1:$OJ$1,MATCH(51,Totals!$A$31:$OJ$31,0)+1),"")</f>
        <v/>
      </c>
      <c r="B106" s="24">
        <f>IFERROR(INDEX(Totals!$A$4:$OJ$4,MATCH(51,Totals!$A$31:$OJ$31,0)),"")</f>
        <v/>
      </c>
      <c r="C106" s="24">
        <f>IFERROR(INDEX(Totals!$A$5:$OJ$5,MATCH(51,Totals!$A$31:$OJ$31,0)),"")</f>
        <v/>
      </c>
      <c r="D106" s="24">
        <f>IF(A106="","",B106+C106)</f>
        <v/>
      </c>
      <c r="E106" s="24">
        <f>IFERROR(INDEX(Totals!$A$9:$OJ$9,MATCH(51,Totals!$A$31:$OJ$31,0)),"")</f>
        <v/>
      </c>
      <c r="F106" s="24">
        <f>IFERROR(INDEX(Totals!$A$10:$OJ$10,MATCH(51,Totals!$A$31:$OJ$31,0)),"")</f>
        <v/>
      </c>
      <c r="G106" s="24">
        <f>IF(A106="","",E106+F106)</f>
        <v/>
      </c>
      <c r="H106" s="25">
        <f>IF(A106="","",B106+E106)</f>
        <v/>
      </c>
      <c r="I106" s="25">
        <f>IF(A106="","",C106+F106)</f>
        <v/>
      </c>
      <c r="J106" s="25">
        <f>IF(A106="","",D106+G106)</f>
        <v/>
      </c>
      <c r="K106" s="26">
        <f>IF(OR(A106="",J105=""),"",J106-J105)</f>
        <v/>
      </c>
      <c r="L106" s="27">
        <f>IFERROR(IF(INDEX(Totals!$A$15:$OJ$15,MATCH(51,Totals!$A$31:$OJ$31,0)+1)=0,"",INDEX(Totals!$A$15:$OJ$15,MATCH(51,Totals!$A$31:$OJ$31,0)+1)),"")</f>
        <v/>
      </c>
    </row>
    <row r="107">
      <c r="A107" s="23">
        <f>IFERROR(INDEX(Totals!$A$1:$OJ$1,MATCH(52,Totals!$A$31:$OJ$31,0)+1),"")</f>
        <v/>
      </c>
      <c r="B107" s="24">
        <f>IFERROR(INDEX(Totals!$A$4:$OJ$4,MATCH(52,Totals!$A$31:$OJ$31,0)),"")</f>
        <v/>
      </c>
      <c r="C107" s="24">
        <f>IFERROR(INDEX(Totals!$A$5:$OJ$5,MATCH(52,Totals!$A$31:$OJ$31,0)),"")</f>
        <v/>
      </c>
      <c r="D107" s="24">
        <f>IF(A107="","",B107+C107)</f>
        <v/>
      </c>
      <c r="E107" s="24">
        <f>IFERROR(INDEX(Totals!$A$9:$OJ$9,MATCH(52,Totals!$A$31:$OJ$31,0)),"")</f>
        <v/>
      </c>
      <c r="F107" s="24">
        <f>IFERROR(INDEX(Totals!$A$10:$OJ$10,MATCH(52,Totals!$A$31:$OJ$31,0)),"")</f>
        <v/>
      </c>
      <c r="G107" s="24">
        <f>IF(A107="","",E107+F107)</f>
        <v/>
      </c>
      <c r="H107" s="25">
        <f>IF(A107="","",B107+E107)</f>
        <v/>
      </c>
      <c r="I107" s="25">
        <f>IF(A107="","",C107+F107)</f>
        <v/>
      </c>
      <c r="J107" s="25">
        <f>IF(A107="","",D107+G107)</f>
        <v/>
      </c>
      <c r="K107" s="26">
        <f>IF(OR(A107="",J106=""),"",J107-J106)</f>
        <v/>
      </c>
      <c r="L107" s="27">
        <f>IFERROR(IF(INDEX(Totals!$A$15:$OJ$15,MATCH(52,Totals!$A$31:$OJ$31,0)+1)=0,"",INDEX(Totals!$A$15:$OJ$15,MATCH(52,Totals!$A$31:$OJ$31,0)+1)),"")</f>
        <v/>
      </c>
    </row>
    <row r="108">
      <c r="A108" s="23">
        <f>IFERROR(INDEX(Totals!$A$1:$OJ$1,MATCH(53,Totals!$A$31:$OJ$31,0)+1),"")</f>
        <v/>
      </c>
      <c r="B108" s="24">
        <f>IFERROR(INDEX(Totals!$A$4:$OJ$4,MATCH(53,Totals!$A$31:$OJ$31,0)),"")</f>
        <v/>
      </c>
      <c r="C108" s="24">
        <f>IFERROR(INDEX(Totals!$A$5:$OJ$5,MATCH(53,Totals!$A$31:$OJ$31,0)),"")</f>
        <v/>
      </c>
      <c r="D108" s="24">
        <f>IF(A108="","",B108+C108)</f>
        <v/>
      </c>
      <c r="E108" s="24">
        <f>IFERROR(INDEX(Totals!$A$9:$OJ$9,MATCH(53,Totals!$A$31:$OJ$31,0)),"")</f>
        <v/>
      </c>
      <c r="F108" s="24">
        <f>IFERROR(INDEX(Totals!$A$10:$OJ$10,MATCH(53,Totals!$A$31:$OJ$31,0)),"")</f>
        <v/>
      </c>
      <c r="G108" s="24">
        <f>IF(A108="","",E108+F108)</f>
        <v/>
      </c>
      <c r="H108" s="25">
        <f>IF(A108="","",B108+E108)</f>
        <v/>
      </c>
      <c r="I108" s="25">
        <f>IF(A108="","",C108+F108)</f>
        <v/>
      </c>
      <c r="J108" s="25">
        <f>IF(A108="","",D108+G108)</f>
        <v/>
      </c>
      <c r="K108" s="26">
        <f>IF(OR(A108="",J107=""),"",J108-J107)</f>
        <v/>
      </c>
      <c r="L108" s="27">
        <f>IFERROR(IF(INDEX(Totals!$A$15:$OJ$15,MATCH(53,Totals!$A$31:$OJ$31,0)+1)=0,"",INDEX(Totals!$A$15:$OJ$15,MATCH(53,Totals!$A$31:$OJ$31,0)+1)),"")</f>
        <v/>
      </c>
    </row>
    <row r="109">
      <c r="A109" s="23">
        <f>IFERROR(INDEX(Totals!$A$1:$OJ$1,MATCH(54,Totals!$A$31:$OJ$31,0)+1),"")</f>
        <v/>
      </c>
      <c r="B109" s="24">
        <f>IFERROR(INDEX(Totals!$A$4:$OJ$4,MATCH(54,Totals!$A$31:$OJ$31,0)),"")</f>
        <v/>
      </c>
      <c r="C109" s="24">
        <f>IFERROR(INDEX(Totals!$A$5:$OJ$5,MATCH(54,Totals!$A$31:$OJ$31,0)),"")</f>
        <v/>
      </c>
      <c r="D109" s="24">
        <f>IF(A109="","",B109+C109)</f>
        <v/>
      </c>
      <c r="E109" s="24">
        <f>IFERROR(INDEX(Totals!$A$9:$OJ$9,MATCH(54,Totals!$A$31:$OJ$31,0)),"")</f>
        <v/>
      </c>
      <c r="F109" s="24">
        <f>IFERROR(INDEX(Totals!$A$10:$OJ$10,MATCH(54,Totals!$A$31:$OJ$31,0)),"")</f>
        <v/>
      </c>
      <c r="G109" s="24">
        <f>IF(A109="","",E109+F109)</f>
        <v/>
      </c>
      <c r="H109" s="25">
        <f>IF(A109="","",B109+E109)</f>
        <v/>
      </c>
      <c r="I109" s="25">
        <f>IF(A109="","",C109+F109)</f>
        <v/>
      </c>
      <c r="J109" s="25">
        <f>IF(A109="","",D109+G109)</f>
        <v/>
      </c>
      <c r="K109" s="26">
        <f>IF(OR(A109="",J108=""),"",J109-J108)</f>
        <v/>
      </c>
      <c r="L109" s="27">
        <f>IFERROR(IF(INDEX(Totals!$A$15:$OJ$15,MATCH(54,Totals!$A$31:$OJ$31,0)+1)=0,"",INDEX(Totals!$A$15:$OJ$15,MATCH(54,Totals!$A$31:$OJ$31,0)+1)),"")</f>
        <v/>
      </c>
    </row>
    <row r="110">
      <c r="A110" s="23">
        <f>IFERROR(INDEX(Totals!$A$1:$OJ$1,MATCH(55,Totals!$A$31:$OJ$31,0)+1),"")</f>
        <v/>
      </c>
      <c r="B110" s="24">
        <f>IFERROR(INDEX(Totals!$A$4:$OJ$4,MATCH(55,Totals!$A$31:$OJ$31,0)),"")</f>
        <v/>
      </c>
      <c r="C110" s="24">
        <f>IFERROR(INDEX(Totals!$A$5:$OJ$5,MATCH(55,Totals!$A$31:$OJ$31,0)),"")</f>
        <v/>
      </c>
      <c r="D110" s="24">
        <f>IF(A110="","",B110+C110)</f>
        <v/>
      </c>
      <c r="E110" s="24">
        <f>IFERROR(INDEX(Totals!$A$9:$OJ$9,MATCH(55,Totals!$A$31:$OJ$31,0)),"")</f>
        <v/>
      </c>
      <c r="F110" s="24">
        <f>IFERROR(INDEX(Totals!$A$10:$OJ$10,MATCH(55,Totals!$A$31:$OJ$31,0)),"")</f>
        <v/>
      </c>
      <c r="G110" s="24">
        <f>IF(A110="","",E110+F110)</f>
        <v/>
      </c>
      <c r="H110" s="25">
        <f>IF(A110="","",B110+E110)</f>
        <v/>
      </c>
      <c r="I110" s="25">
        <f>IF(A110="","",C110+F110)</f>
        <v/>
      </c>
      <c r="J110" s="25">
        <f>IF(A110="","",D110+G110)</f>
        <v/>
      </c>
      <c r="K110" s="26">
        <f>IF(OR(A110="",J109=""),"",J110-J109)</f>
        <v/>
      </c>
      <c r="L110" s="27">
        <f>IFERROR(IF(INDEX(Totals!$A$15:$OJ$15,MATCH(55,Totals!$A$31:$OJ$31,0)+1)=0,"",INDEX(Totals!$A$15:$OJ$15,MATCH(55,Totals!$A$31:$OJ$31,0)+1)),"")</f>
        <v/>
      </c>
    </row>
    <row r="111">
      <c r="A111" s="23">
        <f>IFERROR(INDEX(Totals!$A$1:$OJ$1,MATCH(56,Totals!$A$31:$OJ$31,0)+1),"")</f>
        <v/>
      </c>
      <c r="B111" s="24">
        <f>IFERROR(INDEX(Totals!$A$4:$OJ$4,MATCH(56,Totals!$A$31:$OJ$31,0)),"")</f>
        <v/>
      </c>
      <c r="C111" s="24">
        <f>IFERROR(INDEX(Totals!$A$5:$OJ$5,MATCH(56,Totals!$A$31:$OJ$31,0)),"")</f>
        <v/>
      </c>
      <c r="D111" s="24">
        <f>IF(A111="","",B111+C111)</f>
        <v/>
      </c>
      <c r="E111" s="24">
        <f>IFERROR(INDEX(Totals!$A$9:$OJ$9,MATCH(56,Totals!$A$31:$OJ$31,0)),"")</f>
        <v/>
      </c>
      <c r="F111" s="24">
        <f>IFERROR(INDEX(Totals!$A$10:$OJ$10,MATCH(56,Totals!$A$31:$OJ$31,0)),"")</f>
        <v/>
      </c>
      <c r="G111" s="24">
        <f>IF(A111="","",E111+F111)</f>
        <v/>
      </c>
      <c r="H111" s="25">
        <f>IF(A111="","",B111+E111)</f>
        <v/>
      </c>
      <c r="I111" s="25">
        <f>IF(A111="","",C111+F111)</f>
        <v/>
      </c>
      <c r="J111" s="25">
        <f>IF(A111="","",D111+G111)</f>
        <v/>
      </c>
      <c r="K111" s="26">
        <f>IF(OR(A111="",J110=""),"",J111-J110)</f>
        <v/>
      </c>
      <c r="L111" s="27">
        <f>IFERROR(IF(INDEX(Totals!$A$15:$OJ$15,MATCH(56,Totals!$A$31:$OJ$31,0)+1)=0,"",INDEX(Totals!$A$15:$OJ$15,MATCH(56,Totals!$A$31:$OJ$31,0)+1)),"")</f>
        <v/>
      </c>
    </row>
    <row r="112">
      <c r="A112" s="23">
        <f>IFERROR(INDEX(Totals!$A$1:$OJ$1,MATCH(57,Totals!$A$31:$OJ$31,0)+1),"")</f>
        <v/>
      </c>
      <c r="B112" s="24">
        <f>IFERROR(INDEX(Totals!$A$4:$OJ$4,MATCH(57,Totals!$A$31:$OJ$31,0)),"")</f>
        <v/>
      </c>
      <c r="C112" s="24">
        <f>IFERROR(INDEX(Totals!$A$5:$OJ$5,MATCH(57,Totals!$A$31:$OJ$31,0)),"")</f>
        <v/>
      </c>
      <c r="D112" s="24">
        <f>IF(A112="","",B112+C112)</f>
        <v/>
      </c>
      <c r="E112" s="24">
        <f>IFERROR(INDEX(Totals!$A$9:$OJ$9,MATCH(57,Totals!$A$31:$OJ$31,0)),"")</f>
        <v/>
      </c>
      <c r="F112" s="24">
        <f>IFERROR(INDEX(Totals!$A$10:$OJ$10,MATCH(57,Totals!$A$31:$OJ$31,0)),"")</f>
        <v/>
      </c>
      <c r="G112" s="24">
        <f>IF(A112="","",E112+F112)</f>
        <v/>
      </c>
      <c r="H112" s="25">
        <f>IF(A112="","",B112+E112)</f>
        <v/>
      </c>
      <c r="I112" s="25">
        <f>IF(A112="","",C112+F112)</f>
        <v/>
      </c>
      <c r="J112" s="25">
        <f>IF(A112="","",D112+G112)</f>
        <v/>
      </c>
      <c r="K112" s="26">
        <f>IF(OR(A112="",J111=""),"",J112-J111)</f>
        <v/>
      </c>
      <c r="L112" s="27">
        <f>IFERROR(IF(INDEX(Totals!$A$15:$OJ$15,MATCH(57,Totals!$A$31:$OJ$31,0)+1)=0,"",INDEX(Totals!$A$15:$OJ$15,MATCH(57,Totals!$A$31:$OJ$31,0)+1)),"")</f>
        <v/>
      </c>
    </row>
    <row r="113">
      <c r="A113" s="23">
        <f>IFERROR(INDEX(Totals!$A$1:$OJ$1,MATCH(58,Totals!$A$31:$OJ$31,0)+1),"")</f>
        <v/>
      </c>
      <c r="B113" s="24">
        <f>IFERROR(INDEX(Totals!$A$4:$OJ$4,MATCH(58,Totals!$A$31:$OJ$31,0)),"")</f>
        <v/>
      </c>
      <c r="C113" s="24">
        <f>IFERROR(INDEX(Totals!$A$5:$OJ$5,MATCH(58,Totals!$A$31:$OJ$31,0)),"")</f>
        <v/>
      </c>
      <c r="D113" s="24">
        <f>IF(A113="","",B113+C113)</f>
        <v/>
      </c>
      <c r="E113" s="24">
        <f>IFERROR(INDEX(Totals!$A$9:$OJ$9,MATCH(58,Totals!$A$31:$OJ$31,0)),"")</f>
        <v/>
      </c>
      <c r="F113" s="24">
        <f>IFERROR(INDEX(Totals!$A$10:$OJ$10,MATCH(58,Totals!$A$31:$OJ$31,0)),"")</f>
        <v/>
      </c>
      <c r="G113" s="24">
        <f>IF(A113="","",E113+F113)</f>
        <v/>
      </c>
      <c r="H113" s="25">
        <f>IF(A113="","",B113+E113)</f>
        <v/>
      </c>
      <c r="I113" s="25">
        <f>IF(A113="","",C113+F113)</f>
        <v/>
      </c>
      <c r="J113" s="25">
        <f>IF(A113="","",D113+G113)</f>
        <v/>
      </c>
      <c r="K113" s="26">
        <f>IF(OR(A113="",J112=""),"",J113-J112)</f>
        <v/>
      </c>
      <c r="L113" s="27">
        <f>IFERROR(IF(INDEX(Totals!$A$15:$OJ$15,MATCH(58,Totals!$A$31:$OJ$31,0)+1)=0,"",INDEX(Totals!$A$15:$OJ$15,MATCH(58,Totals!$A$31:$OJ$31,0)+1)),"")</f>
        <v/>
      </c>
    </row>
    <row r="114">
      <c r="A114" s="23">
        <f>IFERROR(INDEX(Totals!$A$1:$OJ$1,MATCH(59,Totals!$A$31:$OJ$31,0)+1),"")</f>
        <v/>
      </c>
      <c r="B114" s="24">
        <f>IFERROR(INDEX(Totals!$A$4:$OJ$4,MATCH(59,Totals!$A$31:$OJ$31,0)),"")</f>
        <v/>
      </c>
      <c r="C114" s="24">
        <f>IFERROR(INDEX(Totals!$A$5:$OJ$5,MATCH(59,Totals!$A$31:$OJ$31,0)),"")</f>
        <v/>
      </c>
      <c r="D114" s="24">
        <f>IF(A114="","",B114+C114)</f>
        <v/>
      </c>
      <c r="E114" s="24">
        <f>IFERROR(INDEX(Totals!$A$9:$OJ$9,MATCH(59,Totals!$A$31:$OJ$31,0)),"")</f>
        <v/>
      </c>
      <c r="F114" s="24">
        <f>IFERROR(INDEX(Totals!$A$10:$OJ$10,MATCH(59,Totals!$A$31:$OJ$31,0)),"")</f>
        <v/>
      </c>
      <c r="G114" s="24">
        <f>IF(A114="","",E114+F114)</f>
        <v/>
      </c>
      <c r="H114" s="25">
        <f>IF(A114="","",B114+E114)</f>
        <v/>
      </c>
      <c r="I114" s="25">
        <f>IF(A114="","",C114+F114)</f>
        <v/>
      </c>
      <c r="J114" s="25">
        <f>IF(A114="","",D114+G114)</f>
        <v/>
      </c>
      <c r="K114" s="26">
        <f>IF(OR(A114="",J113=""),"",J114-J113)</f>
        <v/>
      </c>
      <c r="L114" s="27">
        <f>IFERROR(IF(INDEX(Totals!$A$15:$OJ$15,MATCH(59,Totals!$A$31:$OJ$31,0)+1)=0,"",INDEX(Totals!$A$15:$OJ$15,MATCH(59,Totals!$A$31:$OJ$31,0)+1)),"")</f>
        <v/>
      </c>
    </row>
    <row r="115">
      <c r="A115" s="23">
        <f>IFERROR(INDEX(Totals!$A$1:$OJ$1,MATCH(60,Totals!$A$31:$OJ$31,0)+1),"")</f>
        <v/>
      </c>
      <c r="B115" s="24">
        <f>IFERROR(INDEX(Totals!$A$4:$OJ$4,MATCH(60,Totals!$A$31:$OJ$31,0)),"")</f>
        <v/>
      </c>
      <c r="C115" s="24">
        <f>IFERROR(INDEX(Totals!$A$5:$OJ$5,MATCH(60,Totals!$A$31:$OJ$31,0)),"")</f>
        <v/>
      </c>
      <c r="D115" s="24">
        <f>IF(A115="","",B115+C115)</f>
        <v/>
      </c>
      <c r="E115" s="24">
        <f>IFERROR(INDEX(Totals!$A$9:$OJ$9,MATCH(60,Totals!$A$31:$OJ$31,0)),"")</f>
        <v/>
      </c>
      <c r="F115" s="24">
        <f>IFERROR(INDEX(Totals!$A$10:$OJ$10,MATCH(60,Totals!$A$31:$OJ$31,0)),"")</f>
        <v/>
      </c>
      <c r="G115" s="24">
        <f>IF(A115="","",E115+F115)</f>
        <v/>
      </c>
      <c r="H115" s="25">
        <f>IF(A115="","",B115+E115)</f>
        <v/>
      </c>
      <c r="I115" s="25">
        <f>IF(A115="","",C115+F115)</f>
        <v/>
      </c>
      <c r="J115" s="25">
        <f>IF(A115="","",D115+G115)</f>
        <v/>
      </c>
      <c r="K115" s="26">
        <f>IF(OR(A115="",J114=""),"",J115-J114)</f>
        <v/>
      </c>
      <c r="L115" s="27">
        <f>IFERROR(IF(INDEX(Totals!$A$15:$OJ$15,MATCH(60,Totals!$A$31:$OJ$31,0)+1)=0,"",INDEX(Totals!$A$15:$OJ$15,MATCH(60,Totals!$A$31:$OJ$31,0)+1)),"")</f>
        <v/>
      </c>
    </row>
    <row r="116">
      <c r="A116" s="23">
        <f>IFERROR(INDEX(Totals!$A$1:$OJ$1,MATCH(61,Totals!$A$31:$OJ$31,0)+1),"")</f>
        <v/>
      </c>
      <c r="B116" s="24">
        <f>IFERROR(INDEX(Totals!$A$4:$OJ$4,MATCH(61,Totals!$A$31:$OJ$31,0)),"")</f>
        <v/>
      </c>
      <c r="C116" s="24">
        <f>IFERROR(INDEX(Totals!$A$5:$OJ$5,MATCH(61,Totals!$A$31:$OJ$31,0)),"")</f>
        <v/>
      </c>
      <c r="D116" s="24">
        <f>IF(A116="","",B116+C116)</f>
        <v/>
      </c>
      <c r="E116" s="24">
        <f>IFERROR(INDEX(Totals!$A$9:$OJ$9,MATCH(61,Totals!$A$31:$OJ$31,0)),"")</f>
        <v/>
      </c>
      <c r="F116" s="24">
        <f>IFERROR(INDEX(Totals!$A$10:$OJ$10,MATCH(61,Totals!$A$31:$OJ$31,0)),"")</f>
        <v/>
      </c>
      <c r="G116" s="24">
        <f>IF(A116="","",E116+F116)</f>
        <v/>
      </c>
      <c r="H116" s="25">
        <f>IF(A116="","",B116+E116)</f>
        <v/>
      </c>
      <c r="I116" s="25">
        <f>IF(A116="","",C116+F116)</f>
        <v/>
      </c>
      <c r="J116" s="25">
        <f>IF(A116="","",D116+G116)</f>
        <v/>
      </c>
      <c r="K116" s="26">
        <f>IF(OR(A116="",J115=""),"",J116-J115)</f>
        <v/>
      </c>
      <c r="L116" s="27">
        <f>IFERROR(IF(INDEX(Totals!$A$15:$OJ$15,MATCH(61,Totals!$A$31:$OJ$31,0)+1)=0,"",INDEX(Totals!$A$15:$OJ$15,MATCH(61,Totals!$A$31:$OJ$31,0)+1)),"")</f>
        <v/>
      </c>
    </row>
    <row r="117">
      <c r="A117" s="23">
        <f>IFERROR(INDEX(Totals!$A$1:$OJ$1,MATCH(62,Totals!$A$31:$OJ$31,0)+1),"")</f>
        <v/>
      </c>
      <c r="B117" s="24">
        <f>IFERROR(INDEX(Totals!$A$4:$OJ$4,MATCH(62,Totals!$A$31:$OJ$31,0)),"")</f>
        <v/>
      </c>
      <c r="C117" s="24">
        <f>IFERROR(INDEX(Totals!$A$5:$OJ$5,MATCH(62,Totals!$A$31:$OJ$31,0)),"")</f>
        <v/>
      </c>
      <c r="D117" s="24">
        <f>IF(A117="","",B117+C117)</f>
        <v/>
      </c>
      <c r="E117" s="24">
        <f>IFERROR(INDEX(Totals!$A$9:$OJ$9,MATCH(62,Totals!$A$31:$OJ$31,0)),"")</f>
        <v/>
      </c>
      <c r="F117" s="24">
        <f>IFERROR(INDEX(Totals!$A$10:$OJ$10,MATCH(62,Totals!$A$31:$OJ$31,0)),"")</f>
        <v/>
      </c>
      <c r="G117" s="24">
        <f>IF(A117="","",E117+F117)</f>
        <v/>
      </c>
      <c r="H117" s="25">
        <f>IF(A117="","",B117+E117)</f>
        <v/>
      </c>
      <c r="I117" s="25">
        <f>IF(A117="","",C117+F117)</f>
        <v/>
      </c>
      <c r="J117" s="25">
        <f>IF(A117="","",D117+G117)</f>
        <v/>
      </c>
      <c r="K117" s="26">
        <f>IF(OR(A117="",J116=""),"",J117-J116)</f>
        <v/>
      </c>
      <c r="L117" s="27">
        <f>IFERROR(IF(INDEX(Totals!$A$15:$OJ$15,MATCH(62,Totals!$A$31:$OJ$31,0)+1)=0,"",INDEX(Totals!$A$15:$OJ$15,MATCH(62,Totals!$A$31:$OJ$31,0)+1)),"")</f>
        <v/>
      </c>
    </row>
    <row r="118">
      <c r="A118" s="23">
        <f>IFERROR(INDEX(Totals!$A$1:$OJ$1,MATCH(63,Totals!$A$31:$OJ$31,0)+1),"")</f>
        <v/>
      </c>
      <c r="B118" s="24">
        <f>IFERROR(INDEX(Totals!$A$4:$OJ$4,MATCH(63,Totals!$A$31:$OJ$31,0)),"")</f>
        <v/>
      </c>
      <c r="C118" s="24">
        <f>IFERROR(INDEX(Totals!$A$5:$OJ$5,MATCH(63,Totals!$A$31:$OJ$31,0)),"")</f>
        <v/>
      </c>
      <c r="D118" s="24">
        <f>IF(A118="","",B118+C118)</f>
        <v/>
      </c>
      <c r="E118" s="24">
        <f>IFERROR(INDEX(Totals!$A$9:$OJ$9,MATCH(63,Totals!$A$31:$OJ$31,0)),"")</f>
        <v/>
      </c>
      <c r="F118" s="24">
        <f>IFERROR(INDEX(Totals!$A$10:$OJ$10,MATCH(63,Totals!$A$31:$OJ$31,0)),"")</f>
        <v/>
      </c>
      <c r="G118" s="24">
        <f>IF(A118="","",E118+F118)</f>
        <v/>
      </c>
      <c r="H118" s="25">
        <f>IF(A118="","",B118+E118)</f>
        <v/>
      </c>
      <c r="I118" s="25">
        <f>IF(A118="","",C118+F118)</f>
        <v/>
      </c>
      <c r="J118" s="25">
        <f>IF(A118="","",D118+G118)</f>
        <v/>
      </c>
      <c r="K118" s="26">
        <f>IF(OR(A118="",J117=""),"",J118-J117)</f>
        <v/>
      </c>
      <c r="L118" s="27">
        <f>IFERROR(IF(INDEX(Totals!$A$15:$OJ$15,MATCH(63,Totals!$A$31:$OJ$31,0)+1)=0,"",INDEX(Totals!$A$15:$OJ$15,MATCH(63,Totals!$A$31:$OJ$31,0)+1)),"")</f>
        <v/>
      </c>
    </row>
    <row r="119">
      <c r="A119" s="23">
        <f>IFERROR(INDEX(Totals!$A$1:$OJ$1,MATCH(64,Totals!$A$31:$OJ$31,0)+1),"")</f>
        <v/>
      </c>
      <c r="B119" s="24">
        <f>IFERROR(INDEX(Totals!$A$4:$OJ$4,MATCH(64,Totals!$A$31:$OJ$31,0)),"")</f>
        <v/>
      </c>
      <c r="C119" s="24">
        <f>IFERROR(INDEX(Totals!$A$5:$OJ$5,MATCH(64,Totals!$A$31:$OJ$31,0)),"")</f>
        <v/>
      </c>
      <c r="D119" s="24">
        <f>IF(A119="","",B119+C119)</f>
        <v/>
      </c>
      <c r="E119" s="24">
        <f>IFERROR(INDEX(Totals!$A$9:$OJ$9,MATCH(64,Totals!$A$31:$OJ$31,0)),"")</f>
        <v/>
      </c>
      <c r="F119" s="24">
        <f>IFERROR(INDEX(Totals!$A$10:$OJ$10,MATCH(64,Totals!$A$31:$OJ$31,0)),"")</f>
        <v/>
      </c>
      <c r="G119" s="24">
        <f>IF(A119="","",E119+F119)</f>
        <v/>
      </c>
      <c r="H119" s="25">
        <f>IF(A119="","",B119+E119)</f>
        <v/>
      </c>
      <c r="I119" s="25">
        <f>IF(A119="","",C119+F119)</f>
        <v/>
      </c>
      <c r="J119" s="25">
        <f>IF(A119="","",D119+G119)</f>
        <v/>
      </c>
      <c r="K119" s="26">
        <f>IF(OR(A119="",J118=""),"",J119-J118)</f>
        <v/>
      </c>
      <c r="L119" s="27">
        <f>IFERROR(IF(INDEX(Totals!$A$15:$OJ$15,MATCH(64,Totals!$A$31:$OJ$31,0)+1)=0,"",INDEX(Totals!$A$15:$OJ$15,MATCH(64,Totals!$A$31:$OJ$31,0)+1)),"")</f>
        <v/>
      </c>
    </row>
    <row r="120">
      <c r="A120" s="23">
        <f>IFERROR(INDEX(Totals!$A$1:$OJ$1,MATCH(65,Totals!$A$31:$OJ$31,0)+1),"")</f>
        <v/>
      </c>
      <c r="B120" s="24">
        <f>IFERROR(INDEX(Totals!$A$4:$OJ$4,MATCH(65,Totals!$A$31:$OJ$31,0)),"")</f>
        <v/>
      </c>
      <c r="C120" s="24">
        <f>IFERROR(INDEX(Totals!$A$5:$OJ$5,MATCH(65,Totals!$A$31:$OJ$31,0)),"")</f>
        <v/>
      </c>
      <c r="D120" s="24">
        <f>IF(A120="","",B120+C120)</f>
        <v/>
      </c>
      <c r="E120" s="24">
        <f>IFERROR(INDEX(Totals!$A$9:$OJ$9,MATCH(65,Totals!$A$31:$OJ$31,0)),"")</f>
        <v/>
      </c>
      <c r="F120" s="24">
        <f>IFERROR(INDEX(Totals!$A$10:$OJ$10,MATCH(65,Totals!$A$31:$OJ$31,0)),"")</f>
        <v/>
      </c>
      <c r="G120" s="24">
        <f>IF(A120="","",E120+F120)</f>
        <v/>
      </c>
      <c r="H120" s="25">
        <f>IF(A120="","",B120+E120)</f>
        <v/>
      </c>
      <c r="I120" s="25">
        <f>IF(A120="","",C120+F120)</f>
        <v/>
      </c>
      <c r="J120" s="25">
        <f>IF(A120="","",D120+G120)</f>
        <v/>
      </c>
      <c r="K120" s="26">
        <f>IF(OR(A120="",J119=""),"",J120-J119)</f>
        <v/>
      </c>
      <c r="L120" s="27">
        <f>IFERROR(IF(INDEX(Totals!$A$15:$OJ$15,MATCH(65,Totals!$A$31:$OJ$31,0)+1)=0,"",INDEX(Totals!$A$15:$OJ$15,MATCH(65,Totals!$A$31:$OJ$31,0)+1)),"")</f>
        <v/>
      </c>
    </row>
    <row r="121">
      <c r="A121" s="23">
        <f>IFERROR(INDEX(Totals!$A$1:$OJ$1,MATCH(66,Totals!$A$31:$OJ$31,0)+1),"")</f>
        <v/>
      </c>
      <c r="B121" s="24">
        <f>IFERROR(INDEX(Totals!$A$4:$OJ$4,MATCH(66,Totals!$A$31:$OJ$31,0)),"")</f>
        <v/>
      </c>
      <c r="C121" s="24">
        <f>IFERROR(INDEX(Totals!$A$5:$OJ$5,MATCH(66,Totals!$A$31:$OJ$31,0)),"")</f>
        <v/>
      </c>
      <c r="D121" s="24">
        <f>IF(A121="","",B121+C121)</f>
        <v/>
      </c>
      <c r="E121" s="24">
        <f>IFERROR(INDEX(Totals!$A$9:$OJ$9,MATCH(66,Totals!$A$31:$OJ$31,0)),"")</f>
        <v/>
      </c>
      <c r="F121" s="24">
        <f>IFERROR(INDEX(Totals!$A$10:$OJ$10,MATCH(66,Totals!$A$31:$OJ$31,0)),"")</f>
        <v/>
      </c>
      <c r="G121" s="24">
        <f>IF(A121="","",E121+F121)</f>
        <v/>
      </c>
      <c r="H121" s="25">
        <f>IF(A121="","",B121+E121)</f>
        <v/>
      </c>
      <c r="I121" s="25">
        <f>IF(A121="","",C121+F121)</f>
        <v/>
      </c>
      <c r="J121" s="25">
        <f>IF(A121="","",D121+G121)</f>
        <v/>
      </c>
      <c r="K121" s="26">
        <f>IF(OR(A121="",J120=""),"",J121-J120)</f>
        <v/>
      </c>
      <c r="L121" s="27">
        <f>IFERROR(IF(INDEX(Totals!$A$15:$OJ$15,MATCH(66,Totals!$A$31:$OJ$31,0)+1)=0,"",INDEX(Totals!$A$15:$OJ$15,MATCH(66,Totals!$A$31:$OJ$31,0)+1)),"")</f>
        <v/>
      </c>
    </row>
    <row r="122">
      <c r="A122" s="23">
        <f>IFERROR(INDEX(Totals!$A$1:$OJ$1,MATCH(67,Totals!$A$31:$OJ$31,0)+1),"")</f>
        <v/>
      </c>
      <c r="B122" s="24">
        <f>IFERROR(INDEX(Totals!$A$4:$OJ$4,MATCH(67,Totals!$A$31:$OJ$31,0)),"")</f>
        <v/>
      </c>
      <c r="C122" s="24">
        <f>IFERROR(INDEX(Totals!$A$5:$OJ$5,MATCH(67,Totals!$A$31:$OJ$31,0)),"")</f>
        <v/>
      </c>
      <c r="D122" s="24">
        <f>IF(A122="","",B122+C122)</f>
        <v/>
      </c>
      <c r="E122" s="24">
        <f>IFERROR(INDEX(Totals!$A$9:$OJ$9,MATCH(67,Totals!$A$31:$OJ$31,0)),"")</f>
        <v/>
      </c>
      <c r="F122" s="24">
        <f>IFERROR(INDEX(Totals!$A$10:$OJ$10,MATCH(67,Totals!$A$31:$OJ$31,0)),"")</f>
        <v/>
      </c>
      <c r="G122" s="24">
        <f>IF(A122="","",E122+F122)</f>
        <v/>
      </c>
      <c r="H122" s="25">
        <f>IF(A122="","",B122+E122)</f>
        <v/>
      </c>
      <c r="I122" s="25">
        <f>IF(A122="","",C122+F122)</f>
        <v/>
      </c>
      <c r="J122" s="25">
        <f>IF(A122="","",D122+G122)</f>
        <v/>
      </c>
      <c r="K122" s="26">
        <f>IF(OR(A122="",J121=""),"",J122-J121)</f>
        <v/>
      </c>
      <c r="L122" s="27">
        <f>IFERROR(IF(INDEX(Totals!$A$15:$OJ$15,MATCH(67,Totals!$A$31:$OJ$31,0)+1)=0,"",INDEX(Totals!$A$15:$OJ$15,MATCH(67,Totals!$A$31:$OJ$31,0)+1)),"")</f>
        <v/>
      </c>
    </row>
    <row r="123">
      <c r="A123" s="23">
        <f>IFERROR(INDEX(Totals!$A$1:$OJ$1,MATCH(68,Totals!$A$31:$OJ$31,0)+1),"")</f>
        <v/>
      </c>
      <c r="B123" s="24">
        <f>IFERROR(INDEX(Totals!$A$4:$OJ$4,MATCH(68,Totals!$A$31:$OJ$31,0)),"")</f>
        <v/>
      </c>
      <c r="C123" s="24">
        <f>IFERROR(INDEX(Totals!$A$5:$OJ$5,MATCH(68,Totals!$A$31:$OJ$31,0)),"")</f>
        <v/>
      </c>
      <c r="D123" s="24">
        <f>IF(A123="","",B123+C123)</f>
        <v/>
      </c>
      <c r="E123" s="24">
        <f>IFERROR(INDEX(Totals!$A$9:$OJ$9,MATCH(68,Totals!$A$31:$OJ$31,0)),"")</f>
        <v/>
      </c>
      <c r="F123" s="24">
        <f>IFERROR(INDEX(Totals!$A$10:$OJ$10,MATCH(68,Totals!$A$31:$OJ$31,0)),"")</f>
        <v/>
      </c>
      <c r="G123" s="24">
        <f>IF(A123="","",E123+F123)</f>
        <v/>
      </c>
      <c r="H123" s="25">
        <f>IF(A123="","",B123+E123)</f>
        <v/>
      </c>
      <c r="I123" s="25">
        <f>IF(A123="","",C123+F123)</f>
        <v/>
      </c>
      <c r="J123" s="25">
        <f>IF(A123="","",D123+G123)</f>
        <v/>
      </c>
      <c r="K123" s="26">
        <f>IF(OR(A123="",J122=""),"",J123-J122)</f>
        <v/>
      </c>
      <c r="L123" s="27">
        <f>IFERROR(IF(INDEX(Totals!$A$15:$OJ$15,MATCH(68,Totals!$A$31:$OJ$31,0)+1)=0,"",INDEX(Totals!$A$15:$OJ$15,MATCH(68,Totals!$A$31:$OJ$31,0)+1)),"")</f>
        <v/>
      </c>
    </row>
    <row r="124">
      <c r="A124" s="23">
        <f>IFERROR(INDEX(Totals!$A$1:$OJ$1,MATCH(69,Totals!$A$31:$OJ$31,0)+1),"")</f>
        <v/>
      </c>
      <c r="B124" s="24">
        <f>IFERROR(INDEX(Totals!$A$4:$OJ$4,MATCH(69,Totals!$A$31:$OJ$31,0)),"")</f>
        <v/>
      </c>
      <c r="C124" s="24">
        <f>IFERROR(INDEX(Totals!$A$5:$OJ$5,MATCH(69,Totals!$A$31:$OJ$31,0)),"")</f>
        <v/>
      </c>
      <c r="D124" s="24">
        <f>IF(A124="","",B124+C124)</f>
        <v/>
      </c>
      <c r="E124" s="24">
        <f>IFERROR(INDEX(Totals!$A$9:$OJ$9,MATCH(69,Totals!$A$31:$OJ$31,0)),"")</f>
        <v/>
      </c>
      <c r="F124" s="24">
        <f>IFERROR(INDEX(Totals!$A$10:$OJ$10,MATCH(69,Totals!$A$31:$OJ$31,0)),"")</f>
        <v/>
      </c>
      <c r="G124" s="24">
        <f>IF(A124="","",E124+F124)</f>
        <v/>
      </c>
      <c r="H124" s="25">
        <f>IF(A124="","",B124+E124)</f>
        <v/>
      </c>
      <c r="I124" s="25">
        <f>IF(A124="","",C124+F124)</f>
        <v/>
      </c>
      <c r="J124" s="25">
        <f>IF(A124="","",D124+G124)</f>
        <v/>
      </c>
      <c r="K124" s="26">
        <f>IF(OR(A124="",J123=""),"",J124-J123)</f>
        <v/>
      </c>
      <c r="L124" s="27">
        <f>IFERROR(IF(INDEX(Totals!$A$15:$OJ$15,MATCH(69,Totals!$A$31:$OJ$31,0)+1)=0,"",INDEX(Totals!$A$15:$OJ$15,MATCH(69,Totals!$A$31:$OJ$31,0)+1)),"")</f>
        <v/>
      </c>
    </row>
    <row r="125">
      <c r="A125" s="23">
        <f>IFERROR(INDEX(Totals!$A$1:$OJ$1,MATCH(70,Totals!$A$31:$OJ$31,0)+1),"")</f>
        <v/>
      </c>
      <c r="B125" s="24">
        <f>IFERROR(INDEX(Totals!$A$4:$OJ$4,MATCH(70,Totals!$A$31:$OJ$31,0)),"")</f>
        <v/>
      </c>
      <c r="C125" s="24">
        <f>IFERROR(INDEX(Totals!$A$5:$OJ$5,MATCH(70,Totals!$A$31:$OJ$31,0)),"")</f>
        <v/>
      </c>
      <c r="D125" s="24">
        <f>IF(A125="","",B125+C125)</f>
        <v/>
      </c>
      <c r="E125" s="24">
        <f>IFERROR(INDEX(Totals!$A$9:$OJ$9,MATCH(70,Totals!$A$31:$OJ$31,0)),"")</f>
        <v/>
      </c>
      <c r="F125" s="24">
        <f>IFERROR(INDEX(Totals!$A$10:$OJ$10,MATCH(70,Totals!$A$31:$OJ$31,0)),"")</f>
        <v/>
      </c>
      <c r="G125" s="24">
        <f>IF(A125="","",E125+F125)</f>
        <v/>
      </c>
      <c r="H125" s="25">
        <f>IF(A125="","",B125+E125)</f>
        <v/>
      </c>
      <c r="I125" s="25">
        <f>IF(A125="","",C125+F125)</f>
        <v/>
      </c>
      <c r="J125" s="25">
        <f>IF(A125="","",D125+G125)</f>
        <v/>
      </c>
      <c r="K125" s="26">
        <f>IF(OR(A125="",J124=""),"",J125-J124)</f>
        <v/>
      </c>
      <c r="L125" s="27">
        <f>IFERROR(IF(INDEX(Totals!$A$15:$OJ$15,MATCH(70,Totals!$A$31:$OJ$31,0)+1)=0,"",INDEX(Totals!$A$15:$OJ$15,MATCH(70,Totals!$A$31:$OJ$31,0)+1)),"")</f>
        <v/>
      </c>
    </row>
    <row r="126">
      <c r="A126" s="23">
        <f>IFERROR(INDEX(Totals!$A$1:$OJ$1,MATCH(71,Totals!$A$31:$OJ$31,0)+1),"")</f>
        <v/>
      </c>
      <c r="B126" s="24">
        <f>IFERROR(INDEX(Totals!$A$4:$OJ$4,MATCH(71,Totals!$A$31:$OJ$31,0)),"")</f>
        <v/>
      </c>
      <c r="C126" s="24">
        <f>IFERROR(INDEX(Totals!$A$5:$OJ$5,MATCH(71,Totals!$A$31:$OJ$31,0)),"")</f>
        <v/>
      </c>
      <c r="D126" s="24">
        <f>IF(A126="","",B126+C126)</f>
        <v/>
      </c>
      <c r="E126" s="24">
        <f>IFERROR(INDEX(Totals!$A$9:$OJ$9,MATCH(71,Totals!$A$31:$OJ$31,0)),"")</f>
        <v/>
      </c>
      <c r="F126" s="24">
        <f>IFERROR(INDEX(Totals!$A$10:$OJ$10,MATCH(71,Totals!$A$31:$OJ$31,0)),"")</f>
        <v/>
      </c>
      <c r="G126" s="24">
        <f>IF(A126="","",E126+F126)</f>
        <v/>
      </c>
      <c r="H126" s="25">
        <f>IF(A126="","",B126+E126)</f>
        <v/>
      </c>
      <c r="I126" s="25">
        <f>IF(A126="","",C126+F126)</f>
        <v/>
      </c>
      <c r="J126" s="25">
        <f>IF(A126="","",D126+G126)</f>
        <v/>
      </c>
      <c r="K126" s="26">
        <f>IF(OR(A126="",J125=""),"",J126-J125)</f>
        <v/>
      </c>
      <c r="L126" s="27">
        <f>IFERROR(IF(INDEX(Totals!$A$15:$OJ$15,MATCH(71,Totals!$A$31:$OJ$31,0)+1)=0,"",INDEX(Totals!$A$15:$OJ$15,MATCH(71,Totals!$A$31:$OJ$31,0)+1)),"")</f>
        <v/>
      </c>
    </row>
    <row r="127">
      <c r="A127" s="23">
        <f>IFERROR(INDEX(Totals!$A$1:$OJ$1,MATCH(72,Totals!$A$31:$OJ$31,0)+1),"")</f>
        <v/>
      </c>
      <c r="B127" s="24">
        <f>IFERROR(INDEX(Totals!$A$4:$OJ$4,MATCH(72,Totals!$A$31:$OJ$31,0)),"")</f>
        <v/>
      </c>
      <c r="C127" s="24">
        <f>IFERROR(INDEX(Totals!$A$5:$OJ$5,MATCH(72,Totals!$A$31:$OJ$31,0)),"")</f>
        <v/>
      </c>
      <c r="D127" s="24">
        <f>IF(A127="","",B127+C127)</f>
        <v/>
      </c>
      <c r="E127" s="24">
        <f>IFERROR(INDEX(Totals!$A$9:$OJ$9,MATCH(72,Totals!$A$31:$OJ$31,0)),"")</f>
        <v/>
      </c>
      <c r="F127" s="24">
        <f>IFERROR(INDEX(Totals!$A$10:$OJ$10,MATCH(72,Totals!$A$31:$OJ$31,0)),"")</f>
        <v/>
      </c>
      <c r="G127" s="24">
        <f>IF(A127="","",E127+F127)</f>
        <v/>
      </c>
      <c r="H127" s="25">
        <f>IF(A127="","",B127+E127)</f>
        <v/>
      </c>
      <c r="I127" s="25">
        <f>IF(A127="","",C127+F127)</f>
        <v/>
      </c>
      <c r="J127" s="25">
        <f>IF(A127="","",D127+G127)</f>
        <v/>
      </c>
      <c r="K127" s="26">
        <f>IF(OR(A127="",J126=""),"",J127-J126)</f>
        <v/>
      </c>
      <c r="L127" s="27">
        <f>IFERROR(IF(INDEX(Totals!$A$15:$OJ$15,MATCH(72,Totals!$A$31:$OJ$31,0)+1)=0,"",INDEX(Totals!$A$15:$OJ$15,MATCH(72,Totals!$A$31:$OJ$31,0)+1)),"")</f>
        <v/>
      </c>
    </row>
    <row r="128">
      <c r="A128" s="23">
        <f>IFERROR(INDEX(Totals!$A$1:$OJ$1,MATCH(73,Totals!$A$31:$OJ$31,0)+1),"")</f>
        <v/>
      </c>
      <c r="B128" s="24">
        <f>IFERROR(INDEX(Totals!$A$4:$OJ$4,MATCH(73,Totals!$A$31:$OJ$31,0)),"")</f>
        <v/>
      </c>
      <c r="C128" s="24">
        <f>IFERROR(INDEX(Totals!$A$5:$OJ$5,MATCH(73,Totals!$A$31:$OJ$31,0)),"")</f>
        <v/>
      </c>
      <c r="D128" s="24">
        <f>IF(A128="","",B128+C128)</f>
        <v/>
      </c>
      <c r="E128" s="24">
        <f>IFERROR(INDEX(Totals!$A$9:$OJ$9,MATCH(73,Totals!$A$31:$OJ$31,0)),"")</f>
        <v/>
      </c>
      <c r="F128" s="24">
        <f>IFERROR(INDEX(Totals!$A$10:$OJ$10,MATCH(73,Totals!$A$31:$OJ$31,0)),"")</f>
        <v/>
      </c>
      <c r="G128" s="24">
        <f>IF(A128="","",E128+F128)</f>
        <v/>
      </c>
      <c r="H128" s="25">
        <f>IF(A128="","",B128+E128)</f>
        <v/>
      </c>
      <c r="I128" s="25">
        <f>IF(A128="","",C128+F128)</f>
        <v/>
      </c>
      <c r="J128" s="25">
        <f>IF(A128="","",D128+G128)</f>
        <v/>
      </c>
      <c r="K128" s="26">
        <f>IF(OR(A128="",J127=""),"",J128-J127)</f>
        <v/>
      </c>
      <c r="L128" s="27">
        <f>IFERROR(IF(INDEX(Totals!$A$15:$OJ$15,MATCH(73,Totals!$A$31:$OJ$31,0)+1)=0,"",INDEX(Totals!$A$15:$OJ$15,MATCH(73,Totals!$A$31:$OJ$31,0)+1)),"")</f>
        <v/>
      </c>
    </row>
    <row r="129">
      <c r="A129" s="23">
        <f>IFERROR(INDEX(Totals!$A$1:$OJ$1,MATCH(74,Totals!$A$31:$OJ$31,0)+1),"")</f>
        <v/>
      </c>
      <c r="B129" s="24">
        <f>IFERROR(INDEX(Totals!$A$4:$OJ$4,MATCH(74,Totals!$A$31:$OJ$31,0)),"")</f>
        <v/>
      </c>
      <c r="C129" s="24">
        <f>IFERROR(INDEX(Totals!$A$5:$OJ$5,MATCH(74,Totals!$A$31:$OJ$31,0)),"")</f>
        <v/>
      </c>
      <c r="D129" s="24">
        <f>IF(A129="","",B129+C129)</f>
        <v/>
      </c>
      <c r="E129" s="24">
        <f>IFERROR(INDEX(Totals!$A$9:$OJ$9,MATCH(74,Totals!$A$31:$OJ$31,0)),"")</f>
        <v/>
      </c>
      <c r="F129" s="24">
        <f>IFERROR(INDEX(Totals!$A$10:$OJ$10,MATCH(74,Totals!$A$31:$OJ$31,0)),"")</f>
        <v/>
      </c>
      <c r="G129" s="24">
        <f>IF(A129="","",E129+F129)</f>
        <v/>
      </c>
      <c r="H129" s="25">
        <f>IF(A129="","",B129+E129)</f>
        <v/>
      </c>
      <c r="I129" s="25">
        <f>IF(A129="","",C129+F129)</f>
        <v/>
      </c>
      <c r="J129" s="25">
        <f>IF(A129="","",D129+G129)</f>
        <v/>
      </c>
      <c r="K129" s="26">
        <f>IF(OR(A129="",J128=""),"",J129-J128)</f>
        <v/>
      </c>
      <c r="L129" s="27">
        <f>IFERROR(IF(INDEX(Totals!$A$15:$OJ$15,MATCH(74,Totals!$A$31:$OJ$31,0)+1)=0,"",INDEX(Totals!$A$15:$OJ$15,MATCH(74,Totals!$A$31:$OJ$31,0)+1)),"")</f>
        <v/>
      </c>
    </row>
    <row r="130">
      <c r="A130" s="23">
        <f>IFERROR(INDEX(Totals!$A$1:$OJ$1,MATCH(75,Totals!$A$31:$OJ$31,0)+1),"")</f>
        <v/>
      </c>
      <c r="B130" s="24">
        <f>IFERROR(INDEX(Totals!$A$4:$OJ$4,MATCH(75,Totals!$A$31:$OJ$31,0)),"")</f>
        <v/>
      </c>
      <c r="C130" s="24">
        <f>IFERROR(INDEX(Totals!$A$5:$OJ$5,MATCH(75,Totals!$A$31:$OJ$31,0)),"")</f>
        <v/>
      </c>
      <c r="D130" s="24">
        <f>IF(A130="","",B130+C130)</f>
        <v/>
      </c>
      <c r="E130" s="24">
        <f>IFERROR(INDEX(Totals!$A$9:$OJ$9,MATCH(75,Totals!$A$31:$OJ$31,0)),"")</f>
        <v/>
      </c>
      <c r="F130" s="24">
        <f>IFERROR(INDEX(Totals!$A$10:$OJ$10,MATCH(75,Totals!$A$31:$OJ$31,0)),"")</f>
        <v/>
      </c>
      <c r="G130" s="24">
        <f>IF(A130="","",E130+F130)</f>
        <v/>
      </c>
      <c r="H130" s="25">
        <f>IF(A130="","",B130+E130)</f>
        <v/>
      </c>
      <c r="I130" s="25">
        <f>IF(A130="","",C130+F130)</f>
        <v/>
      </c>
      <c r="J130" s="25">
        <f>IF(A130="","",D130+G130)</f>
        <v/>
      </c>
      <c r="K130" s="26">
        <f>IF(OR(A130="",J129=""),"",J130-J129)</f>
        <v/>
      </c>
      <c r="L130" s="27">
        <f>IFERROR(IF(INDEX(Totals!$A$15:$OJ$15,MATCH(75,Totals!$A$31:$OJ$31,0)+1)=0,"",INDEX(Totals!$A$15:$OJ$15,MATCH(75,Totals!$A$31:$OJ$31,0)+1)),"")</f>
        <v/>
      </c>
    </row>
    <row r="131">
      <c r="A131" s="23">
        <f>IFERROR(INDEX(Totals!$A$1:$OJ$1,MATCH(76,Totals!$A$31:$OJ$31,0)+1),"")</f>
        <v/>
      </c>
      <c r="B131" s="24">
        <f>IFERROR(INDEX(Totals!$A$4:$OJ$4,MATCH(76,Totals!$A$31:$OJ$31,0)),"")</f>
        <v/>
      </c>
      <c r="C131" s="24">
        <f>IFERROR(INDEX(Totals!$A$5:$OJ$5,MATCH(76,Totals!$A$31:$OJ$31,0)),"")</f>
        <v/>
      </c>
      <c r="D131" s="24">
        <f>IF(A131="","",B131+C131)</f>
        <v/>
      </c>
      <c r="E131" s="24">
        <f>IFERROR(INDEX(Totals!$A$9:$OJ$9,MATCH(76,Totals!$A$31:$OJ$31,0)),"")</f>
        <v/>
      </c>
      <c r="F131" s="24">
        <f>IFERROR(INDEX(Totals!$A$10:$OJ$10,MATCH(76,Totals!$A$31:$OJ$31,0)),"")</f>
        <v/>
      </c>
      <c r="G131" s="24">
        <f>IF(A131="","",E131+F131)</f>
        <v/>
      </c>
      <c r="H131" s="25">
        <f>IF(A131="","",B131+E131)</f>
        <v/>
      </c>
      <c r="I131" s="25">
        <f>IF(A131="","",C131+F131)</f>
        <v/>
      </c>
      <c r="J131" s="25">
        <f>IF(A131="","",D131+G131)</f>
        <v/>
      </c>
      <c r="K131" s="26">
        <f>IF(OR(A131="",J130=""),"",J131-J130)</f>
        <v/>
      </c>
      <c r="L131" s="27">
        <f>IFERROR(IF(INDEX(Totals!$A$15:$OJ$15,MATCH(76,Totals!$A$31:$OJ$31,0)+1)=0,"",INDEX(Totals!$A$15:$OJ$15,MATCH(76,Totals!$A$31:$OJ$31,0)+1)),"")</f>
        <v/>
      </c>
    </row>
    <row r="132">
      <c r="A132" s="23">
        <f>IFERROR(INDEX(Totals!$A$1:$OJ$1,MATCH(77,Totals!$A$31:$OJ$31,0)+1),"")</f>
        <v/>
      </c>
      <c r="B132" s="24">
        <f>IFERROR(INDEX(Totals!$A$4:$OJ$4,MATCH(77,Totals!$A$31:$OJ$31,0)),"")</f>
        <v/>
      </c>
      <c r="C132" s="24">
        <f>IFERROR(INDEX(Totals!$A$5:$OJ$5,MATCH(77,Totals!$A$31:$OJ$31,0)),"")</f>
        <v/>
      </c>
      <c r="D132" s="24">
        <f>IF(A132="","",B132+C132)</f>
        <v/>
      </c>
      <c r="E132" s="24">
        <f>IFERROR(INDEX(Totals!$A$9:$OJ$9,MATCH(77,Totals!$A$31:$OJ$31,0)),"")</f>
        <v/>
      </c>
      <c r="F132" s="24">
        <f>IFERROR(INDEX(Totals!$A$10:$OJ$10,MATCH(77,Totals!$A$31:$OJ$31,0)),"")</f>
        <v/>
      </c>
      <c r="G132" s="24">
        <f>IF(A132="","",E132+F132)</f>
        <v/>
      </c>
      <c r="H132" s="25">
        <f>IF(A132="","",B132+E132)</f>
        <v/>
      </c>
      <c r="I132" s="25">
        <f>IF(A132="","",C132+F132)</f>
        <v/>
      </c>
      <c r="J132" s="25">
        <f>IF(A132="","",D132+G132)</f>
        <v/>
      </c>
      <c r="K132" s="26">
        <f>IF(OR(A132="",J131=""),"",J132-J131)</f>
        <v/>
      </c>
      <c r="L132" s="27">
        <f>IFERROR(IF(INDEX(Totals!$A$15:$OJ$15,MATCH(77,Totals!$A$31:$OJ$31,0)+1)=0,"",INDEX(Totals!$A$15:$OJ$15,MATCH(77,Totals!$A$31:$OJ$31,0)+1)),"")</f>
        <v/>
      </c>
    </row>
    <row r="133">
      <c r="A133" s="23">
        <f>IFERROR(INDEX(Totals!$A$1:$OJ$1,MATCH(78,Totals!$A$31:$OJ$31,0)+1),"")</f>
        <v/>
      </c>
      <c r="B133" s="24">
        <f>IFERROR(INDEX(Totals!$A$4:$OJ$4,MATCH(78,Totals!$A$31:$OJ$31,0)),"")</f>
        <v/>
      </c>
      <c r="C133" s="24">
        <f>IFERROR(INDEX(Totals!$A$5:$OJ$5,MATCH(78,Totals!$A$31:$OJ$31,0)),"")</f>
        <v/>
      </c>
      <c r="D133" s="24">
        <f>IF(A133="","",B133+C133)</f>
        <v/>
      </c>
      <c r="E133" s="24">
        <f>IFERROR(INDEX(Totals!$A$9:$OJ$9,MATCH(78,Totals!$A$31:$OJ$31,0)),"")</f>
        <v/>
      </c>
      <c r="F133" s="24">
        <f>IFERROR(INDEX(Totals!$A$10:$OJ$10,MATCH(78,Totals!$A$31:$OJ$31,0)),"")</f>
        <v/>
      </c>
      <c r="G133" s="24">
        <f>IF(A133="","",E133+F133)</f>
        <v/>
      </c>
      <c r="H133" s="25">
        <f>IF(A133="","",B133+E133)</f>
        <v/>
      </c>
      <c r="I133" s="25">
        <f>IF(A133="","",C133+F133)</f>
        <v/>
      </c>
      <c r="J133" s="25">
        <f>IF(A133="","",D133+G133)</f>
        <v/>
      </c>
      <c r="K133" s="26">
        <f>IF(OR(A133="",J132=""),"",J133-J132)</f>
        <v/>
      </c>
      <c r="L133" s="27">
        <f>IFERROR(IF(INDEX(Totals!$A$15:$OJ$15,MATCH(78,Totals!$A$31:$OJ$31,0)+1)=0,"",INDEX(Totals!$A$15:$OJ$15,MATCH(78,Totals!$A$31:$OJ$31,0)+1)),"")</f>
        <v/>
      </c>
    </row>
    <row r="134">
      <c r="A134" s="23">
        <f>IFERROR(INDEX(Totals!$A$1:$OJ$1,MATCH(79,Totals!$A$31:$OJ$31,0)+1),"")</f>
        <v/>
      </c>
      <c r="B134" s="24">
        <f>IFERROR(INDEX(Totals!$A$4:$OJ$4,MATCH(79,Totals!$A$31:$OJ$31,0)),"")</f>
        <v/>
      </c>
      <c r="C134" s="24">
        <f>IFERROR(INDEX(Totals!$A$5:$OJ$5,MATCH(79,Totals!$A$31:$OJ$31,0)),"")</f>
        <v/>
      </c>
      <c r="D134" s="24">
        <f>IF(A134="","",B134+C134)</f>
        <v/>
      </c>
      <c r="E134" s="24">
        <f>IFERROR(INDEX(Totals!$A$9:$OJ$9,MATCH(79,Totals!$A$31:$OJ$31,0)),"")</f>
        <v/>
      </c>
      <c r="F134" s="24">
        <f>IFERROR(INDEX(Totals!$A$10:$OJ$10,MATCH(79,Totals!$A$31:$OJ$31,0)),"")</f>
        <v/>
      </c>
      <c r="G134" s="24">
        <f>IF(A134="","",E134+F134)</f>
        <v/>
      </c>
      <c r="H134" s="25">
        <f>IF(A134="","",B134+E134)</f>
        <v/>
      </c>
      <c r="I134" s="25">
        <f>IF(A134="","",C134+F134)</f>
        <v/>
      </c>
      <c r="J134" s="25">
        <f>IF(A134="","",D134+G134)</f>
        <v/>
      </c>
      <c r="K134" s="26">
        <f>IF(OR(A134="",J133=""),"",J134-J133)</f>
        <v/>
      </c>
      <c r="L134" s="27">
        <f>IFERROR(IF(INDEX(Totals!$A$15:$OJ$15,MATCH(79,Totals!$A$31:$OJ$31,0)+1)=0,"",INDEX(Totals!$A$15:$OJ$15,MATCH(79,Totals!$A$31:$OJ$31,0)+1)),"")</f>
        <v/>
      </c>
    </row>
    <row r="135">
      <c r="A135" s="23">
        <f>IFERROR(INDEX(Totals!$A$1:$OJ$1,MATCH(80,Totals!$A$31:$OJ$31,0)+1),"")</f>
        <v/>
      </c>
      <c r="B135" s="24">
        <f>IFERROR(INDEX(Totals!$A$4:$OJ$4,MATCH(80,Totals!$A$31:$OJ$31,0)),"")</f>
        <v/>
      </c>
      <c r="C135" s="24">
        <f>IFERROR(INDEX(Totals!$A$5:$OJ$5,MATCH(80,Totals!$A$31:$OJ$31,0)),"")</f>
        <v/>
      </c>
      <c r="D135" s="24">
        <f>IF(A135="","",B135+C135)</f>
        <v/>
      </c>
      <c r="E135" s="24">
        <f>IFERROR(INDEX(Totals!$A$9:$OJ$9,MATCH(80,Totals!$A$31:$OJ$31,0)),"")</f>
        <v/>
      </c>
      <c r="F135" s="24">
        <f>IFERROR(INDEX(Totals!$A$10:$OJ$10,MATCH(80,Totals!$A$31:$OJ$31,0)),"")</f>
        <v/>
      </c>
      <c r="G135" s="24">
        <f>IF(A135="","",E135+F135)</f>
        <v/>
      </c>
      <c r="H135" s="25">
        <f>IF(A135="","",B135+E135)</f>
        <v/>
      </c>
      <c r="I135" s="25">
        <f>IF(A135="","",C135+F135)</f>
        <v/>
      </c>
      <c r="J135" s="25">
        <f>IF(A135="","",D135+G135)</f>
        <v/>
      </c>
      <c r="K135" s="26">
        <f>IF(OR(A135="",J134=""),"",J135-J134)</f>
        <v/>
      </c>
      <c r="L135" s="27">
        <f>IFERROR(IF(INDEX(Totals!$A$15:$OJ$15,MATCH(80,Totals!$A$31:$OJ$31,0)+1)=0,"",INDEX(Totals!$A$15:$OJ$15,MATCH(80,Totals!$A$31:$OJ$31,0)+1)),"")</f>
        <v/>
      </c>
    </row>
    <row r="136">
      <c r="A136" s="23">
        <f>IFERROR(INDEX(Totals!$A$1:$OJ$1,MATCH(81,Totals!$A$31:$OJ$31,0)+1),"")</f>
        <v/>
      </c>
      <c r="B136" s="24">
        <f>IFERROR(INDEX(Totals!$A$4:$OJ$4,MATCH(81,Totals!$A$31:$OJ$31,0)),"")</f>
        <v/>
      </c>
      <c r="C136" s="24">
        <f>IFERROR(INDEX(Totals!$A$5:$OJ$5,MATCH(81,Totals!$A$31:$OJ$31,0)),"")</f>
        <v/>
      </c>
      <c r="D136" s="24">
        <f>IF(A136="","",B136+C136)</f>
        <v/>
      </c>
      <c r="E136" s="24">
        <f>IFERROR(INDEX(Totals!$A$9:$OJ$9,MATCH(81,Totals!$A$31:$OJ$31,0)),"")</f>
        <v/>
      </c>
      <c r="F136" s="24">
        <f>IFERROR(INDEX(Totals!$A$10:$OJ$10,MATCH(81,Totals!$A$31:$OJ$31,0)),"")</f>
        <v/>
      </c>
      <c r="G136" s="24">
        <f>IF(A136="","",E136+F136)</f>
        <v/>
      </c>
      <c r="H136" s="25">
        <f>IF(A136="","",B136+E136)</f>
        <v/>
      </c>
      <c r="I136" s="25">
        <f>IF(A136="","",C136+F136)</f>
        <v/>
      </c>
      <c r="J136" s="25">
        <f>IF(A136="","",D136+G136)</f>
        <v/>
      </c>
      <c r="K136" s="26">
        <f>IF(OR(A136="",J135=""),"",J136-J135)</f>
        <v/>
      </c>
      <c r="L136" s="27">
        <f>IFERROR(IF(INDEX(Totals!$A$15:$OJ$15,MATCH(81,Totals!$A$31:$OJ$31,0)+1)=0,"",INDEX(Totals!$A$15:$OJ$15,MATCH(81,Totals!$A$31:$OJ$31,0)+1)),"")</f>
        <v/>
      </c>
    </row>
    <row r="137">
      <c r="A137" s="23">
        <f>IFERROR(INDEX(Totals!$A$1:$OJ$1,MATCH(82,Totals!$A$31:$OJ$31,0)+1),"")</f>
        <v/>
      </c>
      <c r="B137" s="24">
        <f>IFERROR(INDEX(Totals!$A$4:$OJ$4,MATCH(82,Totals!$A$31:$OJ$31,0)),"")</f>
        <v/>
      </c>
      <c r="C137" s="24">
        <f>IFERROR(INDEX(Totals!$A$5:$OJ$5,MATCH(82,Totals!$A$31:$OJ$31,0)),"")</f>
        <v/>
      </c>
      <c r="D137" s="24">
        <f>IF(A137="","",B137+C137)</f>
        <v/>
      </c>
      <c r="E137" s="24">
        <f>IFERROR(INDEX(Totals!$A$9:$OJ$9,MATCH(82,Totals!$A$31:$OJ$31,0)),"")</f>
        <v/>
      </c>
      <c r="F137" s="24">
        <f>IFERROR(INDEX(Totals!$A$10:$OJ$10,MATCH(82,Totals!$A$31:$OJ$31,0)),"")</f>
        <v/>
      </c>
      <c r="G137" s="24">
        <f>IF(A137="","",E137+F137)</f>
        <v/>
      </c>
      <c r="H137" s="25">
        <f>IF(A137="","",B137+E137)</f>
        <v/>
      </c>
      <c r="I137" s="25">
        <f>IF(A137="","",C137+F137)</f>
        <v/>
      </c>
      <c r="J137" s="25">
        <f>IF(A137="","",D137+G137)</f>
        <v/>
      </c>
      <c r="K137" s="26">
        <f>IF(OR(A137="",J136=""),"",J137-J136)</f>
        <v/>
      </c>
      <c r="L137" s="27">
        <f>IFERROR(IF(INDEX(Totals!$A$15:$OJ$15,MATCH(82,Totals!$A$31:$OJ$31,0)+1)=0,"",INDEX(Totals!$A$15:$OJ$15,MATCH(82,Totals!$A$31:$OJ$31,0)+1)),"")</f>
        <v/>
      </c>
    </row>
    <row r="138">
      <c r="A138" s="23">
        <f>IFERROR(INDEX(Totals!$A$1:$OJ$1,MATCH(83,Totals!$A$31:$OJ$31,0)+1),"")</f>
        <v/>
      </c>
      <c r="B138" s="24">
        <f>IFERROR(INDEX(Totals!$A$4:$OJ$4,MATCH(83,Totals!$A$31:$OJ$31,0)),"")</f>
        <v/>
      </c>
      <c r="C138" s="24">
        <f>IFERROR(INDEX(Totals!$A$5:$OJ$5,MATCH(83,Totals!$A$31:$OJ$31,0)),"")</f>
        <v/>
      </c>
      <c r="D138" s="24">
        <f>IF(A138="","",B138+C138)</f>
        <v/>
      </c>
      <c r="E138" s="24">
        <f>IFERROR(INDEX(Totals!$A$9:$OJ$9,MATCH(83,Totals!$A$31:$OJ$31,0)),"")</f>
        <v/>
      </c>
      <c r="F138" s="24">
        <f>IFERROR(INDEX(Totals!$A$10:$OJ$10,MATCH(83,Totals!$A$31:$OJ$31,0)),"")</f>
        <v/>
      </c>
      <c r="G138" s="24">
        <f>IF(A138="","",E138+F138)</f>
        <v/>
      </c>
      <c r="H138" s="25">
        <f>IF(A138="","",B138+E138)</f>
        <v/>
      </c>
      <c r="I138" s="25">
        <f>IF(A138="","",C138+F138)</f>
        <v/>
      </c>
      <c r="J138" s="25">
        <f>IF(A138="","",D138+G138)</f>
        <v/>
      </c>
      <c r="K138" s="26">
        <f>IF(OR(A138="",J137=""),"",J138-J137)</f>
        <v/>
      </c>
      <c r="L138" s="27">
        <f>IFERROR(IF(INDEX(Totals!$A$15:$OJ$15,MATCH(83,Totals!$A$31:$OJ$31,0)+1)=0,"",INDEX(Totals!$A$15:$OJ$15,MATCH(83,Totals!$A$31:$OJ$31,0)+1)),"")</f>
        <v/>
      </c>
    </row>
    <row r="139">
      <c r="A139" s="23">
        <f>IFERROR(INDEX(Totals!$A$1:$OJ$1,MATCH(84,Totals!$A$31:$OJ$31,0)+1),"")</f>
        <v/>
      </c>
      <c r="B139" s="24">
        <f>IFERROR(INDEX(Totals!$A$4:$OJ$4,MATCH(84,Totals!$A$31:$OJ$31,0)),"")</f>
        <v/>
      </c>
      <c r="C139" s="24">
        <f>IFERROR(INDEX(Totals!$A$5:$OJ$5,MATCH(84,Totals!$A$31:$OJ$31,0)),"")</f>
        <v/>
      </c>
      <c r="D139" s="24">
        <f>IF(A139="","",B139+C139)</f>
        <v/>
      </c>
      <c r="E139" s="24">
        <f>IFERROR(INDEX(Totals!$A$9:$OJ$9,MATCH(84,Totals!$A$31:$OJ$31,0)),"")</f>
        <v/>
      </c>
      <c r="F139" s="24">
        <f>IFERROR(INDEX(Totals!$A$10:$OJ$10,MATCH(84,Totals!$A$31:$OJ$31,0)),"")</f>
        <v/>
      </c>
      <c r="G139" s="24">
        <f>IF(A139="","",E139+F139)</f>
        <v/>
      </c>
      <c r="H139" s="25">
        <f>IF(A139="","",B139+E139)</f>
        <v/>
      </c>
      <c r="I139" s="25">
        <f>IF(A139="","",C139+F139)</f>
        <v/>
      </c>
      <c r="J139" s="25">
        <f>IF(A139="","",D139+G139)</f>
        <v/>
      </c>
      <c r="K139" s="26">
        <f>IF(OR(A139="",J138=""),"",J139-J138)</f>
        <v/>
      </c>
      <c r="L139" s="27">
        <f>IFERROR(IF(INDEX(Totals!$A$15:$OJ$15,MATCH(84,Totals!$A$31:$OJ$31,0)+1)=0,"",INDEX(Totals!$A$15:$OJ$15,MATCH(84,Totals!$A$31:$OJ$31,0)+1)),"")</f>
        <v/>
      </c>
    </row>
    <row r="140">
      <c r="A140" s="23">
        <f>IFERROR(INDEX(Totals!$A$1:$OJ$1,MATCH(85,Totals!$A$31:$OJ$31,0)+1),"")</f>
        <v/>
      </c>
      <c r="B140" s="24">
        <f>IFERROR(INDEX(Totals!$A$4:$OJ$4,MATCH(85,Totals!$A$31:$OJ$31,0)),"")</f>
        <v/>
      </c>
      <c r="C140" s="24">
        <f>IFERROR(INDEX(Totals!$A$5:$OJ$5,MATCH(85,Totals!$A$31:$OJ$31,0)),"")</f>
        <v/>
      </c>
      <c r="D140" s="24">
        <f>IF(A140="","",B140+C140)</f>
        <v/>
      </c>
      <c r="E140" s="24">
        <f>IFERROR(INDEX(Totals!$A$9:$OJ$9,MATCH(85,Totals!$A$31:$OJ$31,0)),"")</f>
        <v/>
      </c>
      <c r="F140" s="24">
        <f>IFERROR(INDEX(Totals!$A$10:$OJ$10,MATCH(85,Totals!$A$31:$OJ$31,0)),"")</f>
        <v/>
      </c>
      <c r="G140" s="24">
        <f>IF(A140="","",E140+F140)</f>
        <v/>
      </c>
      <c r="H140" s="25">
        <f>IF(A140="","",B140+E140)</f>
        <v/>
      </c>
      <c r="I140" s="25">
        <f>IF(A140="","",C140+F140)</f>
        <v/>
      </c>
      <c r="J140" s="25">
        <f>IF(A140="","",D140+G140)</f>
        <v/>
      </c>
      <c r="K140" s="26">
        <f>IF(OR(A140="",J139=""),"",J140-J139)</f>
        <v/>
      </c>
      <c r="L140" s="27">
        <f>IFERROR(IF(INDEX(Totals!$A$15:$OJ$15,MATCH(85,Totals!$A$31:$OJ$31,0)+1)=0,"",INDEX(Totals!$A$15:$OJ$15,MATCH(85,Totals!$A$31:$OJ$31,0)+1)),"")</f>
        <v/>
      </c>
    </row>
    <row r="141">
      <c r="A141" s="23">
        <f>IFERROR(INDEX(Totals!$A$1:$OJ$1,MATCH(86,Totals!$A$31:$OJ$31,0)+1),"")</f>
        <v/>
      </c>
      <c r="B141" s="24">
        <f>IFERROR(INDEX(Totals!$A$4:$OJ$4,MATCH(86,Totals!$A$31:$OJ$31,0)),"")</f>
        <v/>
      </c>
      <c r="C141" s="24">
        <f>IFERROR(INDEX(Totals!$A$5:$OJ$5,MATCH(86,Totals!$A$31:$OJ$31,0)),"")</f>
        <v/>
      </c>
      <c r="D141" s="24">
        <f>IF(A141="","",B141+C141)</f>
        <v/>
      </c>
      <c r="E141" s="24">
        <f>IFERROR(INDEX(Totals!$A$9:$OJ$9,MATCH(86,Totals!$A$31:$OJ$31,0)),"")</f>
        <v/>
      </c>
      <c r="F141" s="24">
        <f>IFERROR(INDEX(Totals!$A$10:$OJ$10,MATCH(86,Totals!$A$31:$OJ$31,0)),"")</f>
        <v/>
      </c>
      <c r="G141" s="24">
        <f>IF(A141="","",E141+F141)</f>
        <v/>
      </c>
      <c r="H141" s="25">
        <f>IF(A141="","",B141+E141)</f>
        <v/>
      </c>
      <c r="I141" s="25">
        <f>IF(A141="","",C141+F141)</f>
        <v/>
      </c>
      <c r="J141" s="25">
        <f>IF(A141="","",D141+G141)</f>
        <v/>
      </c>
      <c r="K141" s="26">
        <f>IF(OR(A141="",J140=""),"",J141-J140)</f>
        <v/>
      </c>
      <c r="L141" s="27">
        <f>IFERROR(IF(INDEX(Totals!$A$15:$OJ$15,MATCH(86,Totals!$A$31:$OJ$31,0)+1)=0,"",INDEX(Totals!$A$15:$OJ$15,MATCH(86,Totals!$A$31:$OJ$31,0)+1)),"")</f>
        <v/>
      </c>
    </row>
    <row r="142">
      <c r="A142" s="23">
        <f>IFERROR(INDEX(Totals!$A$1:$OJ$1,MATCH(87,Totals!$A$31:$OJ$31,0)+1),"")</f>
        <v/>
      </c>
      <c r="B142" s="24">
        <f>IFERROR(INDEX(Totals!$A$4:$OJ$4,MATCH(87,Totals!$A$31:$OJ$31,0)),"")</f>
        <v/>
      </c>
      <c r="C142" s="24">
        <f>IFERROR(INDEX(Totals!$A$5:$OJ$5,MATCH(87,Totals!$A$31:$OJ$31,0)),"")</f>
        <v/>
      </c>
      <c r="D142" s="24">
        <f>IF(A142="","",B142+C142)</f>
        <v/>
      </c>
      <c r="E142" s="24">
        <f>IFERROR(INDEX(Totals!$A$9:$OJ$9,MATCH(87,Totals!$A$31:$OJ$31,0)),"")</f>
        <v/>
      </c>
      <c r="F142" s="24">
        <f>IFERROR(INDEX(Totals!$A$10:$OJ$10,MATCH(87,Totals!$A$31:$OJ$31,0)),"")</f>
        <v/>
      </c>
      <c r="G142" s="24">
        <f>IF(A142="","",E142+F142)</f>
        <v/>
      </c>
      <c r="H142" s="25">
        <f>IF(A142="","",B142+E142)</f>
        <v/>
      </c>
      <c r="I142" s="25">
        <f>IF(A142="","",C142+F142)</f>
        <v/>
      </c>
      <c r="J142" s="25">
        <f>IF(A142="","",D142+G142)</f>
        <v/>
      </c>
      <c r="K142" s="26">
        <f>IF(OR(A142="",J141=""),"",J142-J141)</f>
        <v/>
      </c>
      <c r="L142" s="27">
        <f>IFERROR(IF(INDEX(Totals!$A$15:$OJ$15,MATCH(87,Totals!$A$31:$OJ$31,0)+1)=0,"",INDEX(Totals!$A$15:$OJ$15,MATCH(87,Totals!$A$31:$OJ$31,0)+1)),"")</f>
        <v/>
      </c>
    </row>
    <row r="143">
      <c r="A143" s="23">
        <f>IFERROR(INDEX(Totals!$A$1:$OJ$1,MATCH(88,Totals!$A$31:$OJ$31,0)+1),"")</f>
        <v/>
      </c>
      <c r="B143" s="24">
        <f>IFERROR(INDEX(Totals!$A$4:$OJ$4,MATCH(88,Totals!$A$31:$OJ$31,0)),"")</f>
        <v/>
      </c>
      <c r="C143" s="24">
        <f>IFERROR(INDEX(Totals!$A$5:$OJ$5,MATCH(88,Totals!$A$31:$OJ$31,0)),"")</f>
        <v/>
      </c>
      <c r="D143" s="24">
        <f>IF(A143="","",B143+C143)</f>
        <v/>
      </c>
      <c r="E143" s="24">
        <f>IFERROR(INDEX(Totals!$A$9:$OJ$9,MATCH(88,Totals!$A$31:$OJ$31,0)),"")</f>
        <v/>
      </c>
      <c r="F143" s="24">
        <f>IFERROR(INDEX(Totals!$A$10:$OJ$10,MATCH(88,Totals!$A$31:$OJ$31,0)),"")</f>
        <v/>
      </c>
      <c r="G143" s="24">
        <f>IF(A143="","",E143+F143)</f>
        <v/>
      </c>
      <c r="H143" s="25">
        <f>IF(A143="","",B143+E143)</f>
        <v/>
      </c>
      <c r="I143" s="25">
        <f>IF(A143="","",C143+F143)</f>
        <v/>
      </c>
      <c r="J143" s="25">
        <f>IF(A143="","",D143+G143)</f>
        <v/>
      </c>
      <c r="K143" s="26">
        <f>IF(OR(A143="",J142=""),"",J143-J142)</f>
        <v/>
      </c>
      <c r="L143" s="27">
        <f>IFERROR(IF(INDEX(Totals!$A$15:$OJ$15,MATCH(88,Totals!$A$31:$OJ$31,0)+1)=0,"",INDEX(Totals!$A$15:$OJ$15,MATCH(88,Totals!$A$31:$OJ$31,0)+1)),"")</f>
        <v/>
      </c>
    </row>
    <row r="144">
      <c r="A144" s="23">
        <f>IFERROR(INDEX(Totals!$A$1:$OJ$1,MATCH(89,Totals!$A$31:$OJ$31,0)+1),"")</f>
        <v/>
      </c>
      <c r="B144" s="24">
        <f>IFERROR(INDEX(Totals!$A$4:$OJ$4,MATCH(89,Totals!$A$31:$OJ$31,0)),"")</f>
        <v/>
      </c>
      <c r="C144" s="24">
        <f>IFERROR(INDEX(Totals!$A$5:$OJ$5,MATCH(89,Totals!$A$31:$OJ$31,0)),"")</f>
        <v/>
      </c>
      <c r="D144" s="24">
        <f>IF(A144="","",B144+C144)</f>
        <v/>
      </c>
      <c r="E144" s="24">
        <f>IFERROR(INDEX(Totals!$A$9:$OJ$9,MATCH(89,Totals!$A$31:$OJ$31,0)),"")</f>
        <v/>
      </c>
      <c r="F144" s="24">
        <f>IFERROR(INDEX(Totals!$A$10:$OJ$10,MATCH(89,Totals!$A$31:$OJ$31,0)),"")</f>
        <v/>
      </c>
      <c r="G144" s="24">
        <f>IF(A144="","",E144+F144)</f>
        <v/>
      </c>
      <c r="H144" s="25">
        <f>IF(A144="","",B144+E144)</f>
        <v/>
      </c>
      <c r="I144" s="25">
        <f>IF(A144="","",C144+F144)</f>
        <v/>
      </c>
      <c r="J144" s="25">
        <f>IF(A144="","",D144+G144)</f>
        <v/>
      </c>
      <c r="K144" s="26">
        <f>IF(OR(A144="",J143=""),"",J144-J143)</f>
        <v/>
      </c>
      <c r="L144" s="27">
        <f>IFERROR(IF(INDEX(Totals!$A$15:$OJ$15,MATCH(89,Totals!$A$31:$OJ$31,0)+1)=0,"",INDEX(Totals!$A$15:$OJ$15,MATCH(89,Totals!$A$31:$OJ$31,0)+1)),"")</f>
        <v/>
      </c>
    </row>
    <row r="145">
      <c r="A145" s="23">
        <f>IFERROR(INDEX(Totals!$A$1:$OJ$1,MATCH(90,Totals!$A$31:$OJ$31,0)+1),"")</f>
        <v/>
      </c>
      <c r="B145" s="24">
        <f>IFERROR(INDEX(Totals!$A$4:$OJ$4,MATCH(90,Totals!$A$31:$OJ$31,0)),"")</f>
        <v/>
      </c>
      <c r="C145" s="24">
        <f>IFERROR(INDEX(Totals!$A$5:$OJ$5,MATCH(90,Totals!$A$31:$OJ$31,0)),"")</f>
        <v/>
      </c>
      <c r="D145" s="24">
        <f>IF(A145="","",B145+C145)</f>
        <v/>
      </c>
      <c r="E145" s="24">
        <f>IFERROR(INDEX(Totals!$A$9:$OJ$9,MATCH(90,Totals!$A$31:$OJ$31,0)),"")</f>
        <v/>
      </c>
      <c r="F145" s="24">
        <f>IFERROR(INDEX(Totals!$A$10:$OJ$10,MATCH(90,Totals!$A$31:$OJ$31,0)),"")</f>
        <v/>
      </c>
      <c r="G145" s="24">
        <f>IF(A145="","",E145+F145)</f>
        <v/>
      </c>
      <c r="H145" s="25">
        <f>IF(A145="","",B145+E145)</f>
        <v/>
      </c>
      <c r="I145" s="25">
        <f>IF(A145="","",C145+F145)</f>
        <v/>
      </c>
      <c r="J145" s="25">
        <f>IF(A145="","",D145+G145)</f>
        <v/>
      </c>
      <c r="K145" s="26">
        <f>IF(OR(A145="",J144=""),"",J145-J144)</f>
        <v/>
      </c>
      <c r="L145" s="27">
        <f>IFERROR(IF(INDEX(Totals!$A$15:$OJ$15,MATCH(90,Totals!$A$31:$OJ$31,0)+1)=0,"",INDEX(Totals!$A$15:$OJ$15,MATCH(90,Totals!$A$31:$OJ$31,0)+1)),"")</f>
        <v/>
      </c>
    </row>
    <row r="146">
      <c r="A146" s="23">
        <f>IFERROR(INDEX(Totals!$A$1:$OJ$1,MATCH(91,Totals!$A$31:$OJ$31,0)+1),"")</f>
        <v/>
      </c>
      <c r="B146" s="24">
        <f>IFERROR(INDEX(Totals!$A$4:$OJ$4,MATCH(91,Totals!$A$31:$OJ$31,0)),"")</f>
        <v/>
      </c>
      <c r="C146" s="24">
        <f>IFERROR(INDEX(Totals!$A$5:$OJ$5,MATCH(91,Totals!$A$31:$OJ$31,0)),"")</f>
        <v/>
      </c>
      <c r="D146" s="24">
        <f>IF(A146="","",B146+C146)</f>
        <v/>
      </c>
      <c r="E146" s="24">
        <f>IFERROR(INDEX(Totals!$A$9:$OJ$9,MATCH(91,Totals!$A$31:$OJ$31,0)),"")</f>
        <v/>
      </c>
      <c r="F146" s="24">
        <f>IFERROR(INDEX(Totals!$A$10:$OJ$10,MATCH(91,Totals!$A$31:$OJ$31,0)),"")</f>
        <v/>
      </c>
      <c r="G146" s="24">
        <f>IF(A146="","",E146+F146)</f>
        <v/>
      </c>
      <c r="H146" s="25">
        <f>IF(A146="","",B146+E146)</f>
        <v/>
      </c>
      <c r="I146" s="25">
        <f>IF(A146="","",C146+F146)</f>
        <v/>
      </c>
      <c r="J146" s="25">
        <f>IF(A146="","",D146+G146)</f>
        <v/>
      </c>
      <c r="K146" s="26">
        <f>IF(OR(A146="",J145=""),"",J146-J145)</f>
        <v/>
      </c>
      <c r="L146" s="27">
        <f>IFERROR(IF(INDEX(Totals!$A$15:$OJ$15,MATCH(91,Totals!$A$31:$OJ$31,0)+1)=0,"",INDEX(Totals!$A$15:$OJ$15,MATCH(91,Totals!$A$31:$OJ$31,0)+1)),"")</f>
        <v/>
      </c>
    </row>
    <row r="147">
      <c r="A147" s="23">
        <f>IFERROR(INDEX(Totals!$A$1:$OJ$1,MATCH(92,Totals!$A$31:$OJ$31,0)+1),"")</f>
        <v/>
      </c>
      <c r="B147" s="24">
        <f>IFERROR(INDEX(Totals!$A$4:$OJ$4,MATCH(92,Totals!$A$31:$OJ$31,0)),"")</f>
        <v/>
      </c>
      <c r="C147" s="24">
        <f>IFERROR(INDEX(Totals!$A$5:$OJ$5,MATCH(92,Totals!$A$31:$OJ$31,0)),"")</f>
        <v/>
      </c>
      <c r="D147" s="24">
        <f>IF(A147="","",B147+C147)</f>
        <v/>
      </c>
      <c r="E147" s="24">
        <f>IFERROR(INDEX(Totals!$A$9:$OJ$9,MATCH(92,Totals!$A$31:$OJ$31,0)),"")</f>
        <v/>
      </c>
      <c r="F147" s="24">
        <f>IFERROR(INDEX(Totals!$A$10:$OJ$10,MATCH(92,Totals!$A$31:$OJ$31,0)),"")</f>
        <v/>
      </c>
      <c r="G147" s="24">
        <f>IF(A147="","",E147+F147)</f>
        <v/>
      </c>
      <c r="H147" s="25">
        <f>IF(A147="","",B147+E147)</f>
        <v/>
      </c>
      <c r="I147" s="25">
        <f>IF(A147="","",C147+F147)</f>
        <v/>
      </c>
      <c r="J147" s="25">
        <f>IF(A147="","",D147+G147)</f>
        <v/>
      </c>
      <c r="K147" s="26">
        <f>IF(OR(A147="",J146=""),"",J147-J146)</f>
        <v/>
      </c>
      <c r="L147" s="27">
        <f>IFERROR(IF(INDEX(Totals!$A$15:$OJ$15,MATCH(92,Totals!$A$31:$OJ$31,0)+1)=0,"",INDEX(Totals!$A$15:$OJ$15,MATCH(92,Totals!$A$31:$OJ$31,0)+1)),"")</f>
        <v/>
      </c>
    </row>
    <row r="148">
      <c r="A148" s="23">
        <f>IFERROR(INDEX(Totals!$A$1:$OJ$1,MATCH(93,Totals!$A$31:$OJ$31,0)+1),"")</f>
        <v/>
      </c>
      <c r="B148" s="24">
        <f>IFERROR(INDEX(Totals!$A$4:$OJ$4,MATCH(93,Totals!$A$31:$OJ$31,0)),"")</f>
        <v/>
      </c>
      <c r="C148" s="24">
        <f>IFERROR(INDEX(Totals!$A$5:$OJ$5,MATCH(93,Totals!$A$31:$OJ$31,0)),"")</f>
        <v/>
      </c>
      <c r="D148" s="24">
        <f>IF(A148="","",B148+C148)</f>
        <v/>
      </c>
      <c r="E148" s="24">
        <f>IFERROR(INDEX(Totals!$A$9:$OJ$9,MATCH(93,Totals!$A$31:$OJ$31,0)),"")</f>
        <v/>
      </c>
      <c r="F148" s="24">
        <f>IFERROR(INDEX(Totals!$A$10:$OJ$10,MATCH(93,Totals!$A$31:$OJ$31,0)),"")</f>
        <v/>
      </c>
      <c r="G148" s="24">
        <f>IF(A148="","",E148+F148)</f>
        <v/>
      </c>
      <c r="H148" s="25">
        <f>IF(A148="","",B148+E148)</f>
        <v/>
      </c>
      <c r="I148" s="25">
        <f>IF(A148="","",C148+F148)</f>
        <v/>
      </c>
      <c r="J148" s="25">
        <f>IF(A148="","",D148+G148)</f>
        <v/>
      </c>
      <c r="K148" s="26">
        <f>IF(OR(A148="",J147=""),"",J148-J147)</f>
        <v/>
      </c>
      <c r="L148" s="27">
        <f>IFERROR(IF(INDEX(Totals!$A$15:$OJ$15,MATCH(93,Totals!$A$31:$OJ$31,0)+1)=0,"",INDEX(Totals!$A$15:$OJ$15,MATCH(93,Totals!$A$31:$OJ$31,0)+1)),"")</f>
        <v/>
      </c>
    </row>
    <row r="149">
      <c r="A149" s="23">
        <f>IFERROR(INDEX(Totals!$A$1:$OJ$1,MATCH(94,Totals!$A$31:$OJ$31,0)+1),"")</f>
        <v/>
      </c>
      <c r="B149" s="24">
        <f>IFERROR(INDEX(Totals!$A$4:$OJ$4,MATCH(94,Totals!$A$31:$OJ$31,0)),"")</f>
        <v/>
      </c>
      <c r="C149" s="24">
        <f>IFERROR(INDEX(Totals!$A$5:$OJ$5,MATCH(94,Totals!$A$31:$OJ$31,0)),"")</f>
        <v/>
      </c>
      <c r="D149" s="24">
        <f>IF(A149="","",B149+C149)</f>
        <v/>
      </c>
      <c r="E149" s="24">
        <f>IFERROR(INDEX(Totals!$A$9:$OJ$9,MATCH(94,Totals!$A$31:$OJ$31,0)),"")</f>
        <v/>
      </c>
      <c r="F149" s="24">
        <f>IFERROR(INDEX(Totals!$A$10:$OJ$10,MATCH(94,Totals!$A$31:$OJ$31,0)),"")</f>
        <v/>
      </c>
      <c r="G149" s="24">
        <f>IF(A149="","",E149+F149)</f>
        <v/>
      </c>
      <c r="H149" s="25">
        <f>IF(A149="","",B149+E149)</f>
        <v/>
      </c>
      <c r="I149" s="25">
        <f>IF(A149="","",C149+F149)</f>
        <v/>
      </c>
      <c r="J149" s="25">
        <f>IF(A149="","",D149+G149)</f>
        <v/>
      </c>
      <c r="K149" s="26">
        <f>IF(OR(A149="",J148=""),"",J149-J148)</f>
        <v/>
      </c>
      <c r="L149" s="27">
        <f>IFERROR(IF(INDEX(Totals!$A$15:$OJ$15,MATCH(94,Totals!$A$31:$OJ$31,0)+1)=0,"",INDEX(Totals!$A$15:$OJ$15,MATCH(94,Totals!$A$31:$OJ$31,0)+1)),"")</f>
        <v/>
      </c>
    </row>
    <row r="150">
      <c r="A150" s="23">
        <f>IFERROR(INDEX(Totals!$A$1:$OJ$1,MATCH(95,Totals!$A$31:$OJ$31,0)+1),"")</f>
        <v/>
      </c>
      <c r="B150" s="24">
        <f>IFERROR(INDEX(Totals!$A$4:$OJ$4,MATCH(95,Totals!$A$31:$OJ$31,0)),"")</f>
        <v/>
      </c>
      <c r="C150" s="24">
        <f>IFERROR(INDEX(Totals!$A$5:$OJ$5,MATCH(95,Totals!$A$31:$OJ$31,0)),"")</f>
        <v/>
      </c>
      <c r="D150" s="24">
        <f>IF(A150="","",B150+C150)</f>
        <v/>
      </c>
      <c r="E150" s="24">
        <f>IFERROR(INDEX(Totals!$A$9:$OJ$9,MATCH(95,Totals!$A$31:$OJ$31,0)),"")</f>
        <v/>
      </c>
      <c r="F150" s="24">
        <f>IFERROR(INDEX(Totals!$A$10:$OJ$10,MATCH(95,Totals!$A$31:$OJ$31,0)),"")</f>
        <v/>
      </c>
      <c r="G150" s="24">
        <f>IF(A150="","",E150+F150)</f>
        <v/>
      </c>
      <c r="H150" s="25">
        <f>IF(A150="","",B150+E150)</f>
        <v/>
      </c>
      <c r="I150" s="25">
        <f>IF(A150="","",C150+F150)</f>
        <v/>
      </c>
      <c r="J150" s="25">
        <f>IF(A150="","",D150+G150)</f>
        <v/>
      </c>
      <c r="K150" s="26">
        <f>IF(OR(A150="",J149=""),"",J150-J149)</f>
        <v/>
      </c>
      <c r="L150" s="27">
        <f>IFERROR(IF(INDEX(Totals!$A$15:$OJ$15,MATCH(95,Totals!$A$31:$OJ$31,0)+1)=0,"",INDEX(Totals!$A$15:$OJ$15,MATCH(95,Totals!$A$31:$OJ$31,0)+1)),"")</f>
        <v/>
      </c>
    </row>
    <row r="151">
      <c r="A151" s="23">
        <f>IFERROR(INDEX(Totals!$A$1:$OJ$1,MATCH(96,Totals!$A$31:$OJ$31,0)+1),"")</f>
        <v/>
      </c>
      <c r="B151" s="24">
        <f>IFERROR(INDEX(Totals!$A$4:$OJ$4,MATCH(96,Totals!$A$31:$OJ$31,0)),"")</f>
        <v/>
      </c>
      <c r="C151" s="24">
        <f>IFERROR(INDEX(Totals!$A$5:$OJ$5,MATCH(96,Totals!$A$31:$OJ$31,0)),"")</f>
        <v/>
      </c>
      <c r="D151" s="24">
        <f>IF(A151="","",B151+C151)</f>
        <v/>
      </c>
      <c r="E151" s="24">
        <f>IFERROR(INDEX(Totals!$A$9:$OJ$9,MATCH(96,Totals!$A$31:$OJ$31,0)),"")</f>
        <v/>
      </c>
      <c r="F151" s="24">
        <f>IFERROR(INDEX(Totals!$A$10:$OJ$10,MATCH(96,Totals!$A$31:$OJ$31,0)),"")</f>
        <v/>
      </c>
      <c r="G151" s="24">
        <f>IF(A151="","",E151+F151)</f>
        <v/>
      </c>
      <c r="H151" s="25">
        <f>IF(A151="","",B151+E151)</f>
        <v/>
      </c>
      <c r="I151" s="25">
        <f>IF(A151="","",C151+F151)</f>
        <v/>
      </c>
      <c r="J151" s="25">
        <f>IF(A151="","",D151+G151)</f>
        <v/>
      </c>
      <c r="K151" s="26">
        <f>IF(OR(A151="",J150=""),"",J151-J150)</f>
        <v/>
      </c>
      <c r="L151" s="27">
        <f>IFERROR(IF(INDEX(Totals!$A$15:$OJ$15,MATCH(96,Totals!$A$31:$OJ$31,0)+1)=0,"",INDEX(Totals!$A$15:$OJ$15,MATCH(96,Totals!$A$31:$OJ$31,0)+1)),"")</f>
        <v/>
      </c>
    </row>
    <row r="152">
      <c r="A152" s="23">
        <f>IFERROR(INDEX(Totals!$A$1:$OJ$1,MATCH(97,Totals!$A$31:$OJ$31,0)+1),"")</f>
        <v/>
      </c>
      <c r="B152" s="24">
        <f>IFERROR(INDEX(Totals!$A$4:$OJ$4,MATCH(97,Totals!$A$31:$OJ$31,0)),"")</f>
        <v/>
      </c>
      <c r="C152" s="24">
        <f>IFERROR(INDEX(Totals!$A$5:$OJ$5,MATCH(97,Totals!$A$31:$OJ$31,0)),"")</f>
        <v/>
      </c>
      <c r="D152" s="24">
        <f>IF(A152="","",B152+C152)</f>
        <v/>
      </c>
      <c r="E152" s="24">
        <f>IFERROR(INDEX(Totals!$A$9:$OJ$9,MATCH(97,Totals!$A$31:$OJ$31,0)),"")</f>
        <v/>
      </c>
      <c r="F152" s="24">
        <f>IFERROR(INDEX(Totals!$A$10:$OJ$10,MATCH(97,Totals!$A$31:$OJ$31,0)),"")</f>
        <v/>
      </c>
      <c r="G152" s="24">
        <f>IF(A152="","",E152+F152)</f>
        <v/>
      </c>
      <c r="H152" s="25">
        <f>IF(A152="","",B152+E152)</f>
        <v/>
      </c>
      <c r="I152" s="25">
        <f>IF(A152="","",C152+F152)</f>
        <v/>
      </c>
      <c r="J152" s="25">
        <f>IF(A152="","",D152+G152)</f>
        <v/>
      </c>
      <c r="K152" s="26">
        <f>IF(OR(A152="",J151=""),"",J152-J151)</f>
        <v/>
      </c>
      <c r="L152" s="27">
        <f>IFERROR(IF(INDEX(Totals!$A$15:$OJ$15,MATCH(97,Totals!$A$31:$OJ$31,0)+1)=0,"",INDEX(Totals!$A$15:$OJ$15,MATCH(97,Totals!$A$31:$OJ$31,0)+1)),"")</f>
        <v/>
      </c>
    </row>
    <row r="153">
      <c r="A153" s="23">
        <f>IFERROR(INDEX(Totals!$A$1:$OJ$1,MATCH(98,Totals!$A$31:$OJ$31,0)+1),"")</f>
        <v/>
      </c>
      <c r="B153" s="24">
        <f>IFERROR(INDEX(Totals!$A$4:$OJ$4,MATCH(98,Totals!$A$31:$OJ$31,0)),"")</f>
        <v/>
      </c>
      <c r="C153" s="24">
        <f>IFERROR(INDEX(Totals!$A$5:$OJ$5,MATCH(98,Totals!$A$31:$OJ$31,0)),"")</f>
        <v/>
      </c>
      <c r="D153" s="24">
        <f>IF(A153="","",B153+C153)</f>
        <v/>
      </c>
      <c r="E153" s="24">
        <f>IFERROR(INDEX(Totals!$A$9:$OJ$9,MATCH(98,Totals!$A$31:$OJ$31,0)),"")</f>
        <v/>
      </c>
      <c r="F153" s="24">
        <f>IFERROR(INDEX(Totals!$A$10:$OJ$10,MATCH(98,Totals!$A$31:$OJ$31,0)),"")</f>
        <v/>
      </c>
      <c r="G153" s="24">
        <f>IF(A153="","",E153+F153)</f>
        <v/>
      </c>
      <c r="H153" s="25">
        <f>IF(A153="","",B153+E153)</f>
        <v/>
      </c>
      <c r="I153" s="25">
        <f>IF(A153="","",C153+F153)</f>
        <v/>
      </c>
      <c r="J153" s="25">
        <f>IF(A153="","",D153+G153)</f>
        <v/>
      </c>
      <c r="K153" s="26">
        <f>IF(OR(A153="",J152=""),"",J153-J152)</f>
        <v/>
      </c>
      <c r="L153" s="27">
        <f>IFERROR(IF(INDEX(Totals!$A$15:$OJ$15,MATCH(98,Totals!$A$31:$OJ$31,0)+1)=0,"",INDEX(Totals!$A$15:$OJ$15,MATCH(98,Totals!$A$31:$OJ$31,0)+1)),"")</f>
        <v/>
      </c>
    </row>
    <row r="154">
      <c r="A154" s="23">
        <f>IFERROR(INDEX(Totals!$A$1:$OJ$1,MATCH(99,Totals!$A$31:$OJ$31,0)+1),"")</f>
        <v/>
      </c>
      <c r="B154" s="24">
        <f>IFERROR(INDEX(Totals!$A$4:$OJ$4,MATCH(99,Totals!$A$31:$OJ$31,0)),"")</f>
        <v/>
      </c>
      <c r="C154" s="24">
        <f>IFERROR(INDEX(Totals!$A$5:$OJ$5,MATCH(99,Totals!$A$31:$OJ$31,0)),"")</f>
        <v/>
      </c>
      <c r="D154" s="24">
        <f>IF(A154="","",B154+C154)</f>
        <v/>
      </c>
      <c r="E154" s="24">
        <f>IFERROR(INDEX(Totals!$A$9:$OJ$9,MATCH(99,Totals!$A$31:$OJ$31,0)),"")</f>
        <v/>
      </c>
      <c r="F154" s="24">
        <f>IFERROR(INDEX(Totals!$A$10:$OJ$10,MATCH(99,Totals!$A$31:$OJ$31,0)),"")</f>
        <v/>
      </c>
      <c r="G154" s="24">
        <f>IF(A154="","",E154+F154)</f>
        <v/>
      </c>
      <c r="H154" s="25">
        <f>IF(A154="","",B154+E154)</f>
        <v/>
      </c>
      <c r="I154" s="25">
        <f>IF(A154="","",C154+F154)</f>
        <v/>
      </c>
      <c r="J154" s="25">
        <f>IF(A154="","",D154+G154)</f>
        <v/>
      </c>
      <c r="K154" s="26">
        <f>IF(OR(A154="",J153=""),"",J154-J153)</f>
        <v/>
      </c>
      <c r="L154" s="27">
        <f>IFERROR(IF(INDEX(Totals!$A$15:$OJ$15,MATCH(99,Totals!$A$31:$OJ$31,0)+1)=0,"",INDEX(Totals!$A$15:$OJ$15,MATCH(99,Totals!$A$31:$OJ$31,0)+1)),"")</f>
        <v/>
      </c>
    </row>
    <row r="155">
      <c r="A155" s="23">
        <f>IFERROR(INDEX(Totals!$A$1:$OJ$1,MATCH(100,Totals!$A$31:$OJ$31,0)+1),"")</f>
        <v/>
      </c>
      <c r="B155" s="24">
        <f>IFERROR(INDEX(Totals!$A$4:$OJ$4,MATCH(100,Totals!$A$31:$OJ$31,0)),"")</f>
        <v/>
      </c>
      <c r="C155" s="24">
        <f>IFERROR(INDEX(Totals!$A$5:$OJ$5,MATCH(100,Totals!$A$31:$OJ$31,0)),"")</f>
        <v/>
      </c>
      <c r="D155" s="24">
        <f>IF(A155="","",B155+C155)</f>
        <v/>
      </c>
      <c r="E155" s="24">
        <f>IFERROR(INDEX(Totals!$A$9:$OJ$9,MATCH(100,Totals!$A$31:$OJ$31,0)),"")</f>
        <v/>
      </c>
      <c r="F155" s="24">
        <f>IFERROR(INDEX(Totals!$A$10:$OJ$10,MATCH(100,Totals!$A$31:$OJ$31,0)),"")</f>
        <v/>
      </c>
      <c r="G155" s="24">
        <f>IF(A155="","",E155+F155)</f>
        <v/>
      </c>
      <c r="H155" s="25">
        <f>IF(A155="","",B155+E155)</f>
        <v/>
      </c>
      <c r="I155" s="25">
        <f>IF(A155="","",C155+F155)</f>
        <v/>
      </c>
      <c r="J155" s="25">
        <f>IF(A155="","",D155+G155)</f>
        <v/>
      </c>
      <c r="K155" s="26">
        <f>IF(OR(A155="",J154=""),"",J155-J154)</f>
        <v/>
      </c>
      <c r="L155" s="27">
        <f>IFERROR(IF(INDEX(Totals!$A$15:$OJ$15,MATCH(100,Totals!$A$31:$OJ$31,0)+1)=0,"",INDEX(Totals!$A$15:$OJ$15,MATCH(100,Totals!$A$31:$OJ$31,0)+1)),"")</f>
        <v/>
      </c>
    </row>
    <row r="156">
      <c r="A156" s="23">
        <f>IFERROR(INDEX(Totals!$A$1:$OJ$1,MATCH(101,Totals!$A$31:$OJ$31,0)+1),"")</f>
        <v/>
      </c>
      <c r="B156" s="24">
        <f>IFERROR(INDEX(Totals!$A$4:$OJ$4,MATCH(101,Totals!$A$31:$OJ$31,0)),"")</f>
        <v/>
      </c>
      <c r="C156" s="24">
        <f>IFERROR(INDEX(Totals!$A$5:$OJ$5,MATCH(101,Totals!$A$31:$OJ$31,0)),"")</f>
        <v/>
      </c>
      <c r="D156" s="24">
        <f>IF(A156="","",B156+C156)</f>
        <v/>
      </c>
      <c r="E156" s="24">
        <f>IFERROR(INDEX(Totals!$A$9:$OJ$9,MATCH(101,Totals!$A$31:$OJ$31,0)),"")</f>
        <v/>
      </c>
      <c r="F156" s="24">
        <f>IFERROR(INDEX(Totals!$A$10:$OJ$10,MATCH(101,Totals!$A$31:$OJ$31,0)),"")</f>
        <v/>
      </c>
      <c r="G156" s="24">
        <f>IF(A156="","",E156+F156)</f>
        <v/>
      </c>
      <c r="H156" s="25">
        <f>IF(A156="","",B156+E156)</f>
        <v/>
      </c>
      <c r="I156" s="25">
        <f>IF(A156="","",C156+F156)</f>
        <v/>
      </c>
      <c r="J156" s="25">
        <f>IF(A156="","",D156+G156)</f>
        <v/>
      </c>
      <c r="K156" s="26">
        <f>IF(OR(A156="",J155=""),"",J156-J155)</f>
        <v/>
      </c>
      <c r="L156" s="27">
        <f>IFERROR(IF(INDEX(Totals!$A$15:$OJ$15,MATCH(101,Totals!$A$31:$OJ$31,0)+1)=0,"",INDEX(Totals!$A$15:$OJ$15,MATCH(101,Totals!$A$31:$OJ$31,0)+1)),"")</f>
        <v/>
      </c>
    </row>
    <row r="157">
      <c r="A157" s="23">
        <f>IFERROR(INDEX(Totals!$A$1:$OJ$1,MATCH(102,Totals!$A$31:$OJ$31,0)+1),"")</f>
        <v/>
      </c>
      <c r="B157" s="24">
        <f>IFERROR(INDEX(Totals!$A$4:$OJ$4,MATCH(102,Totals!$A$31:$OJ$31,0)),"")</f>
        <v/>
      </c>
      <c r="C157" s="24">
        <f>IFERROR(INDEX(Totals!$A$5:$OJ$5,MATCH(102,Totals!$A$31:$OJ$31,0)),"")</f>
        <v/>
      </c>
      <c r="D157" s="24">
        <f>IF(A157="","",B157+C157)</f>
        <v/>
      </c>
      <c r="E157" s="24">
        <f>IFERROR(INDEX(Totals!$A$9:$OJ$9,MATCH(102,Totals!$A$31:$OJ$31,0)),"")</f>
        <v/>
      </c>
      <c r="F157" s="24">
        <f>IFERROR(INDEX(Totals!$A$10:$OJ$10,MATCH(102,Totals!$A$31:$OJ$31,0)),"")</f>
        <v/>
      </c>
      <c r="G157" s="24">
        <f>IF(A157="","",E157+F157)</f>
        <v/>
      </c>
      <c r="H157" s="25">
        <f>IF(A157="","",B157+E157)</f>
        <v/>
      </c>
      <c r="I157" s="25">
        <f>IF(A157="","",C157+F157)</f>
        <v/>
      </c>
      <c r="J157" s="25">
        <f>IF(A157="","",D157+G157)</f>
        <v/>
      </c>
      <c r="K157" s="26">
        <f>IF(OR(A157="",J156=""),"",J157-J156)</f>
        <v/>
      </c>
      <c r="L157" s="27">
        <f>IFERROR(IF(INDEX(Totals!$A$15:$OJ$15,MATCH(102,Totals!$A$31:$OJ$31,0)+1)=0,"",INDEX(Totals!$A$15:$OJ$15,MATCH(102,Totals!$A$31:$OJ$31,0)+1)),"")</f>
        <v/>
      </c>
    </row>
    <row r="158">
      <c r="A158" s="23">
        <f>IFERROR(INDEX(Totals!$A$1:$OJ$1,MATCH(103,Totals!$A$31:$OJ$31,0)+1),"")</f>
        <v/>
      </c>
      <c r="B158" s="24">
        <f>IFERROR(INDEX(Totals!$A$4:$OJ$4,MATCH(103,Totals!$A$31:$OJ$31,0)),"")</f>
        <v/>
      </c>
      <c r="C158" s="24">
        <f>IFERROR(INDEX(Totals!$A$5:$OJ$5,MATCH(103,Totals!$A$31:$OJ$31,0)),"")</f>
        <v/>
      </c>
      <c r="D158" s="24">
        <f>IF(A158="","",B158+C158)</f>
        <v/>
      </c>
      <c r="E158" s="24">
        <f>IFERROR(INDEX(Totals!$A$9:$OJ$9,MATCH(103,Totals!$A$31:$OJ$31,0)),"")</f>
        <v/>
      </c>
      <c r="F158" s="24">
        <f>IFERROR(INDEX(Totals!$A$10:$OJ$10,MATCH(103,Totals!$A$31:$OJ$31,0)),"")</f>
        <v/>
      </c>
      <c r="G158" s="24">
        <f>IF(A158="","",E158+F158)</f>
        <v/>
      </c>
      <c r="H158" s="25">
        <f>IF(A158="","",B158+E158)</f>
        <v/>
      </c>
      <c r="I158" s="25">
        <f>IF(A158="","",C158+F158)</f>
        <v/>
      </c>
      <c r="J158" s="25">
        <f>IF(A158="","",D158+G158)</f>
        <v/>
      </c>
      <c r="K158" s="26">
        <f>IF(OR(A158="",J157=""),"",J158-J157)</f>
        <v/>
      </c>
      <c r="L158" s="27">
        <f>IFERROR(IF(INDEX(Totals!$A$15:$OJ$15,MATCH(103,Totals!$A$31:$OJ$31,0)+1)=0,"",INDEX(Totals!$A$15:$OJ$15,MATCH(103,Totals!$A$31:$OJ$31,0)+1)),"")</f>
        <v/>
      </c>
    </row>
    <row r="159">
      <c r="A159" s="23">
        <f>IFERROR(INDEX(Totals!$A$1:$OJ$1,MATCH(104,Totals!$A$31:$OJ$31,0)+1),"")</f>
        <v/>
      </c>
      <c r="B159" s="24">
        <f>IFERROR(INDEX(Totals!$A$4:$OJ$4,MATCH(104,Totals!$A$31:$OJ$31,0)),"")</f>
        <v/>
      </c>
      <c r="C159" s="24">
        <f>IFERROR(INDEX(Totals!$A$5:$OJ$5,MATCH(104,Totals!$A$31:$OJ$31,0)),"")</f>
        <v/>
      </c>
      <c r="D159" s="24">
        <f>IF(A159="","",B159+C159)</f>
        <v/>
      </c>
      <c r="E159" s="24">
        <f>IFERROR(INDEX(Totals!$A$9:$OJ$9,MATCH(104,Totals!$A$31:$OJ$31,0)),"")</f>
        <v/>
      </c>
      <c r="F159" s="24">
        <f>IFERROR(INDEX(Totals!$A$10:$OJ$10,MATCH(104,Totals!$A$31:$OJ$31,0)),"")</f>
        <v/>
      </c>
      <c r="G159" s="24">
        <f>IF(A159="","",E159+F159)</f>
        <v/>
      </c>
      <c r="H159" s="25">
        <f>IF(A159="","",B159+E159)</f>
        <v/>
      </c>
      <c r="I159" s="25">
        <f>IF(A159="","",C159+F159)</f>
        <v/>
      </c>
      <c r="J159" s="25">
        <f>IF(A159="","",D159+G159)</f>
        <v/>
      </c>
      <c r="K159" s="26">
        <f>IF(OR(A159="",J158=""),"",J159-J158)</f>
        <v/>
      </c>
      <c r="L159" s="27">
        <f>IFERROR(IF(INDEX(Totals!$A$15:$OJ$15,MATCH(104,Totals!$A$31:$OJ$31,0)+1)=0,"",INDEX(Totals!$A$15:$OJ$15,MATCH(104,Totals!$A$31:$OJ$31,0)+1)),"")</f>
        <v/>
      </c>
    </row>
    <row r="160">
      <c r="A160" s="23">
        <f>IFERROR(INDEX(Totals!$A$1:$OJ$1,MATCH(105,Totals!$A$31:$OJ$31,0)+1),"")</f>
        <v/>
      </c>
      <c r="B160" s="24">
        <f>IFERROR(INDEX(Totals!$A$4:$OJ$4,MATCH(105,Totals!$A$31:$OJ$31,0)),"")</f>
        <v/>
      </c>
      <c r="C160" s="24">
        <f>IFERROR(INDEX(Totals!$A$5:$OJ$5,MATCH(105,Totals!$A$31:$OJ$31,0)),"")</f>
        <v/>
      </c>
      <c r="D160" s="24">
        <f>IF(A160="","",B160+C160)</f>
        <v/>
      </c>
      <c r="E160" s="24">
        <f>IFERROR(INDEX(Totals!$A$9:$OJ$9,MATCH(105,Totals!$A$31:$OJ$31,0)),"")</f>
        <v/>
      </c>
      <c r="F160" s="24">
        <f>IFERROR(INDEX(Totals!$A$10:$OJ$10,MATCH(105,Totals!$A$31:$OJ$31,0)),"")</f>
        <v/>
      </c>
      <c r="G160" s="24">
        <f>IF(A160="","",E160+F160)</f>
        <v/>
      </c>
      <c r="H160" s="25">
        <f>IF(A160="","",B160+E160)</f>
        <v/>
      </c>
      <c r="I160" s="25">
        <f>IF(A160="","",C160+F160)</f>
        <v/>
      </c>
      <c r="J160" s="25">
        <f>IF(A160="","",D160+G160)</f>
        <v/>
      </c>
      <c r="K160" s="26">
        <f>IF(OR(A160="",J159=""),"",J160-J159)</f>
        <v/>
      </c>
      <c r="L160" s="27">
        <f>IFERROR(IF(INDEX(Totals!$A$15:$OJ$15,MATCH(105,Totals!$A$31:$OJ$31,0)+1)=0,"",INDEX(Totals!$A$15:$OJ$15,MATCH(105,Totals!$A$31:$OJ$31,0)+1)),"")</f>
        <v/>
      </c>
    </row>
    <row r="161">
      <c r="A161" s="23">
        <f>IFERROR(INDEX(Totals!$A$1:$OJ$1,MATCH(106,Totals!$A$31:$OJ$31,0)+1),"")</f>
        <v/>
      </c>
      <c r="B161" s="24">
        <f>IFERROR(INDEX(Totals!$A$4:$OJ$4,MATCH(106,Totals!$A$31:$OJ$31,0)),"")</f>
        <v/>
      </c>
      <c r="C161" s="24">
        <f>IFERROR(INDEX(Totals!$A$5:$OJ$5,MATCH(106,Totals!$A$31:$OJ$31,0)),"")</f>
        <v/>
      </c>
      <c r="D161" s="24">
        <f>IF(A161="","",B161+C161)</f>
        <v/>
      </c>
      <c r="E161" s="24">
        <f>IFERROR(INDEX(Totals!$A$9:$OJ$9,MATCH(106,Totals!$A$31:$OJ$31,0)),"")</f>
        <v/>
      </c>
      <c r="F161" s="24">
        <f>IFERROR(INDEX(Totals!$A$10:$OJ$10,MATCH(106,Totals!$A$31:$OJ$31,0)),"")</f>
        <v/>
      </c>
      <c r="G161" s="24">
        <f>IF(A161="","",E161+F161)</f>
        <v/>
      </c>
      <c r="H161" s="25">
        <f>IF(A161="","",B161+E161)</f>
        <v/>
      </c>
      <c r="I161" s="25">
        <f>IF(A161="","",C161+F161)</f>
        <v/>
      </c>
      <c r="J161" s="25">
        <f>IF(A161="","",D161+G161)</f>
        <v/>
      </c>
      <c r="K161" s="26">
        <f>IF(OR(A161="",J160=""),"",J161-J160)</f>
        <v/>
      </c>
      <c r="L161" s="27">
        <f>IFERROR(IF(INDEX(Totals!$A$15:$OJ$15,MATCH(106,Totals!$A$31:$OJ$31,0)+1)=0,"",INDEX(Totals!$A$15:$OJ$15,MATCH(106,Totals!$A$31:$OJ$31,0)+1)),"")</f>
        <v/>
      </c>
    </row>
    <row r="162">
      <c r="A162" s="23">
        <f>IFERROR(INDEX(Totals!$A$1:$OJ$1,MATCH(107,Totals!$A$31:$OJ$31,0)+1),"")</f>
        <v/>
      </c>
      <c r="B162" s="24">
        <f>IFERROR(INDEX(Totals!$A$4:$OJ$4,MATCH(107,Totals!$A$31:$OJ$31,0)),"")</f>
        <v/>
      </c>
      <c r="C162" s="24">
        <f>IFERROR(INDEX(Totals!$A$5:$OJ$5,MATCH(107,Totals!$A$31:$OJ$31,0)),"")</f>
        <v/>
      </c>
      <c r="D162" s="24">
        <f>IF(A162="","",B162+C162)</f>
        <v/>
      </c>
      <c r="E162" s="24">
        <f>IFERROR(INDEX(Totals!$A$9:$OJ$9,MATCH(107,Totals!$A$31:$OJ$31,0)),"")</f>
        <v/>
      </c>
      <c r="F162" s="24">
        <f>IFERROR(INDEX(Totals!$A$10:$OJ$10,MATCH(107,Totals!$A$31:$OJ$31,0)),"")</f>
        <v/>
      </c>
      <c r="G162" s="24">
        <f>IF(A162="","",E162+F162)</f>
        <v/>
      </c>
      <c r="H162" s="25">
        <f>IF(A162="","",B162+E162)</f>
        <v/>
      </c>
      <c r="I162" s="25">
        <f>IF(A162="","",C162+F162)</f>
        <v/>
      </c>
      <c r="J162" s="25">
        <f>IF(A162="","",D162+G162)</f>
        <v/>
      </c>
      <c r="K162" s="26">
        <f>IF(OR(A162="",J161=""),"",J162-J161)</f>
        <v/>
      </c>
      <c r="L162" s="27">
        <f>IFERROR(IF(INDEX(Totals!$A$15:$OJ$15,MATCH(107,Totals!$A$31:$OJ$31,0)+1)=0,"",INDEX(Totals!$A$15:$OJ$15,MATCH(107,Totals!$A$31:$OJ$31,0)+1)),"")</f>
        <v/>
      </c>
    </row>
    <row r="163">
      <c r="A163" s="23">
        <f>IFERROR(INDEX(Totals!$A$1:$OJ$1,MATCH(108,Totals!$A$31:$OJ$31,0)+1),"")</f>
        <v/>
      </c>
      <c r="B163" s="24">
        <f>IFERROR(INDEX(Totals!$A$4:$OJ$4,MATCH(108,Totals!$A$31:$OJ$31,0)),"")</f>
        <v/>
      </c>
      <c r="C163" s="24">
        <f>IFERROR(INDEX(Totals!$A$5:$OJ$5,MATCH(108,Totals!$A$31:$OJ$31,0)),"")</f>
        <v/>
      </c>
      <c r="D163" s="24">
        <f>IF(A163="","",B163+C163)</f>
        <v/>
      </c>
      <c r="E163" s="24">
        <f>IFERROR(INDEX(Totals!$A$9:$OJ$9,MATCH(108,Totals!$A$31:$OJ$31,0)),"")</f>
        <v/>
      </c>
      <c r="F163" s="24">
        <f>IFERROR(INDEX(Totals!$A$10:$OJ$10,MATCH(108,Totals!$A$31:$OJ$31,0)),"")</f>
        <v/>
      </c>
      <c r="G163" s="24">
        <f>IF(A163="","",E163+F163)</f>
        <v/>
      </c>
      <c r="H163" s="25">
        <f>IF(A163="","",B163+E163)</f>
        <v/>
      </c>
      <c r="I163" s="25">
        <f>IF(A163="","",C163+F163)</f>
        <v/>
      </c>
      <c r="J163" s="25">
        <f>IF(A163="","",D163+G163)</f>
        <v/>
      </c>
      <c r="K163" s="26">
        <f>IF(OR(A163="",J162=""),"",J163-J162)</f>
        <v/>
      </c>
      <c r="L163" s="27">
        <f>IFERROR(IF(INDEX(Totals!$A$15:$OJ$15,MATCH(108,Totals!$A$31:$OJ$31,0)+1)=0,"",INDEX(Totals!$A$15:$OJ$15,MATCH(108,Totals!$A$31:$OJ$31,0)+1)),"")</f>
        <v/>
      </c>
    </row>
    <row r="164">
      <c r="A164" s="23">
        <f>IFERROR(INDEX(Totals!$A$1:$OJ$1,MATCH(109,Totals!$A$31:$OJ$31,0)+1),"")</f>
        <v/>
      </c>
      <c r="B164" s="24">
        <f>IFERROR(INDEX(Totals!$A$4:$OJ$4,MATCH(109,Totals!$A$31:$OJ$31,0)),"")</f>
        <v/>
      </c>
      <c r="C164" s="24">
        <f>IFERROR(INDEX(Totals!$A$5:$OJ$5,MATCH(109,Totals!$A$31:$OJ$31,0)),"")</f>
        <v/>
      </c>
      <c r="D164" s="24">
        <f>IF(A164="","",B164+C164)</f>
        <v/>
      </c>
      <c r="E164" s="24">
        <f>IFERROR(INDEX(Totals!$A$9:$OJ$9,MATCH(109,Totals!$A$31:$OJ$31,0)),"")</f>
        <v/>
      </c>
      <c r="F164" s="24">
        <f>IFERROR(INDEX(Totals!$A$10:$OJ$10,MATCH(109,Totals!$A$31:$OJ$31,0)),"")</f>
        <v/>
      </c>
      <c r="G164" s="24">
        <f>IF(A164="","",E164+F164)</f>
        <v/>
      </c>
      <c r="H164" s="25">
        <f>IF(A164="","",B164+E164)</f>
        <v/>
      </c>
      <c r="I164" s="25">
        <f>IF(A164="","",C164+F164)</f>
        <v/>
      </c>
      <c r="J164" s="25">
        <f>IF(A164="","",D164+G164)</f>
        <v/>
      </c>
      <c r="K164" s="26">
        <f>IF(OR(A164="",J163=""),"",J164-J163)</f>
        <v/>
      </c>
      <c r="L164" s="27">
        <f>IFERROR(IF(INDEX(Totals!$A$15:$OJ$15,MATCH(109,Totals!$A$31:$OJ$31,0)+1)=0,"",INDEX(Totals!$A$15:$OJ$15,MATCH(109,Totals!$A$31:$OJ$31,0)+1)),"")</f>
        <v/>
      </c>
    </row>
    <row r="165">
      <c r="A165" s="23">
        <f>IFERROR(INDEX(Totals!$A$1:$OJ$1,MATCH(110,Totals!$A$31:$OJ$31,0)+1),"")</f>
        <v/>
      </c>
      <c r="B165" s="24">
        <f>IFERROR(INDEX(Totals!$A$4:$OJ$4,MATCH(110,Totals!$A$31:$OJ$31,0)),"")</f>
        <v/>
      </c>
      <c r="C165" s="24">
        <f>IFERROR(INDEX(Totals!$A$5:$OJ$5,MATCH(110,Totals!$A$31:$OJ$31,0)),"")</f>
        <v/>
      </c>
      <c r="D165" s="24">
        <f>IF(A165="","",B165+C165)</f>
        <v/>
      </c>
      <c r="E165" s="24">
        <f>IFERROR(INDEX(Totals!$A$9:$OJ$9,MATCH(110,Totals!$A$31:$OJ$31,0)),"")</f>
        <v/>
      </c>
      <c r="F165" s="24">
        <f>IFERROR(INDEX(Totals!$A$10:$OJ$10,MATCH(110,Totals!$A$31:$OJ$31,0)),"")</f>
        <v/>
      </c>
      <c r="G165" s="24">
        <f>IF(A165="","",E165+F165)</f>
        <v/>
      </c>
      <c r="H165" s="25">
        <f>IF(A165="","",B165+E165)</f>
        <v/>
      </c>
      <c r="I165" s="25">
        <f>IF(A165="","",C165+F165)</f>
        <v/>
      </c>
      <c r="J165" s="25">
        <f>IF(A165="","",D165+G165)</f>
        <v/>
      </c>
      <c r="K165" s="26">
        <f>IF(OR(A165="",J164=""),"",J165-J164)</f>
        <v/>
      </c>
      <c r="L165" s="27">
        <f>IFERROR(IF(INDEX(Totals!$A$15:$OJ$15,MATCH(110,Totals!$A$31:$OJ$31,0)+1)=0,"",INDEX(Totals!$A$15:$OJ$15,MATCH(110,Totals!$A$31:$OJ$31,0)+1)),"")</f>
        <v/>
      </c>
    </row>
  </sheetData>
  <sheetProtection selectLockedCells="0" selectUnlockedCells="0" sheet="1" objects="0" insertRows="1" insertHyperlinks="1" autoFilter="1" scenarios="0" formatColumns="0" deleteColumns="1" insertColumns="1" pivotTables="1" deleteRows="1" formatCells="0" formatRows="0" sort="1"/>
  <mergeCells count="20">
    <mergeCell ref="A54:L54"/>
    <mergeCell ref="A17:G17"/>
    <mergeCell ref="A12:C12"/>
    <mergeCell ref="A3:L3"/>
    <mergeCell ref="A2:L2"/>
    <mergeCell ref="A5:C5"/>
    <mergeCell ref="A8:C8"/>
    <mergeCell ref="A14:C14"/>
    <mergeCell ref="A4:L4"/>
    <mergeCell ref="A10:C10"/>
    <mergeCell ref="A19:L19"/>
    <mergeCell ref="A15:C15"/>
    <mergeCell ref="F37:L51"/>
    <mergeCell ref="F36:L36"/>
    <mergeCell ref="A11:C11"/>
    <mergeCell ref="A18:G18"/>
    <mergeCell ref="A1:L1"/>
    <mergeCell ref="A6:C6"/>
    <mergeCell ref="A7:C7"/>
    <mergeCell ref="A16:C16"/>
  </mergeCells>
  <conditionalFormatting sqref="A4:L4">
    <cfRule type="expression" priority="1" dxfId="0" stopIfTrue="1">
      <formula>LEN($A$4)&gt;0</formula>
    </cfRule>
  </conditionalFormatting>
  <conditionalFormatting sqref="F6:F8">
    <cfRule type="expression" priority="2" dxfId="1" stopIfTrue="0">
      <formula>AND(ISNUMBER(F6),F6&gt;0)</formula>
    </cfRule>
    <cfRule type="expression" priority="3" dxfId="2" stopIfTrue="0">
      <formula>AND(ISNUMBER(F6),F6&lt;0)</formula>
    </cfRule>
  </conditionalFormatting>
  <conditionalFormatting sqref="K56:K165">
    <cfRule type="expression" priority="4" dxfId="1" stopIfTrue="0">
      <formula>AND(ISNUMBER(K56),K56&gt;0)</formula>
    </cfRule>
    <cfRule type="expression" priority="5" dxfId="2" stopIfTrue="0">
      <formula>AND(ISNUMBER(K56),K56&lt;0)</formula>
    </cfRule>
  </conditionalFormatting>
  <pageMargins left="0.75" right="0.75" top="1" bottom="1" header="0.5" footer="0.5"/>
  <pageSetup orientation="landscape" fitToHeight="0" fitToWidth="1"/>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tabColor rgb="FF2A78D6"/>
    <outlinePr summaryBelow="1" summaryRight="1"/>
    <pageSetUpPr/>
  </sheetPr>
  <dimension ref="A1:OJ35"/>
  <sheetViews>
    <sheetView showGridLines="0" workbookViewId="0">
      <selection activeCell="A1" sqref="A1"/>
    </sheetView>
  </sheetViews>
  <sheetFormatPr baseColWidth="8" defaultRowHeight="15"/>
  <cols>
    <col width="11" customWidth="1" min="1" max="1"/>
    <col width="27" customWidth="1" min="2" max="2"/>
    <col width="2.5" customWidth="1" min="3" max="3"/>
    <col width="11" customWidth="1" min="4" max="4"/>
    <col width="27" customWidth="1" min="5" max="5"/>
    <col width="2.5" customWidth="1" min="6" max="6"/>
    <col width="11" customWidth="1" min="7" max="7"/>
    <col width="27" customWidth="1" min="8" max="8"/>
    <col width="2.5" customWidth="1" min="9" max="9"/>
    <col width="11" customWidth="1" min="10" max="10"/>
    <col width="27" customWidth="1" min="11" max="11"/>
    <col width="2.5" customWidth="1" min="12" max="12"/>
    <col width="11" customWidth="1" min="13" max="13"/>
    <col width="27" customWidth="1" min="14" max="14"/>
    <col width="2.5" customWidth="1" min="15" max="15"/>
    <col width="11" customWidth="1" min="16" max="16"/>
    <col width="27" customWidth="1" min="17" max="17"/>
    <col width="2.5" customWidth="1" min="18" max="18"/>
    <col width="11" customWidth="1" min="19" max="19"/>
    <col width="27" customWidth="1" min="20" max="20"/>
    <col width="2.5" customWidth="1" min="21" max="21"/>
    <col width="11" customWidth="1" min="22" max="22"/>
    <col width="27" customWidth="1" min="23" max="23"/>
    <col width="2.5" customWidth="1" min="24" max="24"/>
    <col width="11" customWidth="1" min="25" max="25"/>
    <col width="27" customWidth="1" min="26" max="26"/>
    <col width="2.5" customWidth="1" min="27" max="27"/>
    <col width="11" customWidth="1" min="28" max="28"/>
    <col width="27" customWidth="1" min="29" max="29"/>
    <col width="2.5" customWidth="1" min="30" max="30"/>
    <col width="11" customWidth="1" min="31" max="31"/>
    <col width="27" customWidth="1" min="32" max="32"/>
    <col width="2.5" customWidth="1" min="33" max="33"/>
    <col width="11" customWidth="1" min="34" max="34"/>
    <col width="27" customWidth="1" min="35" max="35"/>
    <col width="2.5" customWidth="1" min="36" max="36"/>
    <col width="11" customWidth="1" min="37" max="37"/>
    <col width="27" customWidth="1" min="38" max="38"/>
    <col width="2.5" customWidth="1" min="39" max="39"/>
    <col width="11" customWidth="1" min="40" max="40"/>
    <col width="27" customWidth="1" min="41" max="41"/>
    <col width="2.5" customWidth="1" min="42" max="42"/>
    <col width="11" customWidth="1" min="43" max="43"/>
    <col width="27" customWidth="1" min="44" max="44"/>
    <col width="2.5" customWidth="1" min="45" max="45"/>
    <col width="11" customWidth="1" min="46" max="46"/>
    <col width="27" customWidth="1" min="47" max="47"/>
    <col width="2.5" customWidth="1" min="48" max="48"/>
    <col width="11" customWidth="1" min="49" max="49"/>
    <col width="27" customWidth="1" min="50" max="50"/>
    <col width="2.5" customWidth="1" min="51" max="51"/>
    <col width="11" customWidth="1" min="52" max="52"/>
    <col width="27" customWidth="1" min="53" max="53"/>
    <col width="2.5" customWidth="1" min="54" max="54"/>
    <col width="11" customWidth="1" min="55" max="55"/>
    <col width="27" customWidth="1" min="56" max="56"/>
    <col width="2.5" customWidth="1" min="57" max="57"/>
    <col width="11" customWidth="1" min="58" max="58"/>
    <col width="27" customWidth="1" min="59" max="59"/>
    <col width="2.5" customWidth="1" min="60" max="60"/>
    <col width="11" customWidth="1" min="61" max="61"/>
    <col width="27" customWidth="1" min="62" max="62"/>
    <col width="2.5" customWidth="1" min="63" max="63"/>
    <col width="11" customWidth="1" min="64" max="64"/>
    <col width="27" customWidth="1" min="65" max="65"/>
    <col width="2.5" customWidth="1" min="66" max="66"/>
    <col width="11" customWidth="1" min="67" max="67"/>
    <col width="27" customWidth="1" min="68" max="68"/>
    <col width="2.5" customWidth="1" min="69" max="69"/>
    <col width="11" customWidth="1" min="70" max="70"/>
    <col width="27" customWidth="1" min="71" max="71"/>
    <col width="2.5" customWidth="1" min="72" max="72"/>
    <col width="11" customWidth="1" min="73" max="73"/>
    <col width="27" customWidth="1" min="74" max="74"/>
    <col width="2.5" customWidth="1" min="75" max="75"/>
    <col width="11" customWidth="1" min="76" max="76"/>
    <col width="27" customWidth="1" min="77" max="77"/>
    <col width="2.5" customWidth="1" min="78" max="78"/>
    <col width="11" customWidth="1" min="79" max="79"/>
    <col width="27" customWidth="1" min="80" max="80"/>
    <col width="2.5" customWidth="1" min="81" max="81"/>
    <col width="11" customWidth="1" min="82" max="82"/>
    <col width="27" customWidth="1" min="83" max="83"/>
    <col width="2.5" customWidth="1" min="84" max="84"/>
    <col width="11" customWidth="1" min="85" max="85"/>
    <col width="27" customWidth="1" min="86" max="86"/>
    <col width="2.5" customWidth="1" min="87" max="87"/>
    <col width="11" customWidth="1" min="88" max="88"/>
    <col width="27" customWidth="1" min="89" max="89"/>
    <col width="2.5" customWidth="1" min="90" max="90"/>
    <col width="11" customWidth="1" min="91" max="91"/>
    <col width="27" customWidth="1" min="92" max="92"/>
    <col width="2.5" customWidth="1" min="93" max="93"/>
    <col width="11" customWidth="1" min="94" max="94"/>
    <col width="27" customWidth="1" min="95" max="95"/>
    <col width="2.5" customWidth="1" min="96" max="96"/>
    <col width="11" customWidth="1" min="97" max="97"/>
    <col width="27" customWidth="1" min="98" max="98"/>
    <col width="2.5" customWidth="1" min="99" max="99"/>
    <col width="11" customWidth="1" min="100" max="100"/>
    <col width="27" customWidth="1" min="101" max="101"/>
    <col width="2.5" customWidth="1" min="102" max="102"/>
    <col width="11" customWidth="1" min="103" max="103"/>
    <col width="27" customWidth="1" min="104" max="104"/>
    <col width="2.5" customWidth="1" min="105" max="105"/>
    <col width="11" customWidth="1" min="106" max="106"/>
    <col width="27" customWidth="1" min="107" max="107"/>
    <col width="2.5" customWidth="1" min="108" max="108"/>
    <col width="11" customWidth="1" min="109" max="109"/>
    <col width="27" customWidth="1" min="110" max="110"/>
    <col width="2.5" customWidth="1" min="111" max="111"/>
    <col width="11" customWidth="1" min="112" max="112"/>
    <col width="27" customWidth="1" min="113" max="113"/>
    <col width="2.5" customWidth="1" min="114" max="114"/>
    <col width="11" customWidth="1" min="115" max="115"/>
    <col width="27" customWidth="1" min="116" max="116"/>
    <col width="2.5" customWidth="1" min="117" max="117"/>
    <col width="11" customWidth="1" min="118" max="118"/>
    <col width="27" customWidth="1" min="119" max="119"/>
    <col width="2.5" customWidth="1" min="120" max="120"/>
    <col width="11" customWidth="1" min="121" max="121"/>
    <col width="27" customWidth="1" min="122" max="122"/>
    <col width="2.5" customWidth="1" min="123" max="123"/>
    <col width="11" customWidth="1" min="124" max="124"/>
    <col width="27" customWidth="1" min="125" max="125"/>
    <col width="2.5" customWidth="1" min="126" max="126"/>
    <col width="11" customWidth="1" min="127" max="127"/>
    <col width="27" customWidth="1" min="128" max="128"/>
    <col width="2.5" customWidth="1" min="129" max="129"/>
    <col width="11" customWidth="1" min="130" max="130"/>
    <col width="27" customWidth="1" min="131" max="131"/>
    <col width="2.5" customWidth="1" min="132" max="132"/>
    <col width="11" customWidth="1" min="133" max="133"/>
    <col width="27" customWidth="1" min="134" max="134"/>
    <col width="2.5" customWidth="1" min="135" max="135"/>
    <col width="11" customWidth="1" min="136" max="136"/>
    <col width="27" customWidth="1" min="137" max="137"/>
    <col width="2.5" customWidth="1" min="138" max="138"/>
    <col width="11" customWidth="1" min="139" max="139"/>
    <col width="27" customWidth="1" min="140" max="140"/>
    <col width="2.5" customWidth="1" min="141" max="141"/>
    <col width="11" customWidth="1" min="142" max="142"/>
    <col width="27" customWidth="1" min="143" max="143"/>
    <col width="2.5" customWidth="1" min="144" max="144"/>
    <col width="11" customWidth="1" min="145" max="145"/>
    <col width="27" customWidth="1" min="146" max="146"/>
    <col width="2.5" customWidth="1" min="147" max="147"/>
    <col width="11" customWidth="1" min="148" max="148"/>
    <col width="27" customWidth="1" min="149" max="149"/>
    <col width="2.5" customWidth="1" min="150" max="150"/>
    <col width="11" customWidth="1" min="151" max="151"/>
    <col width="27" customWidth="1" min="152" max="152"/>
    <col width="2.5" customWidth="1" min="153" max="153"/>
    <col width="11" customWidth="1" min="154" max="154"/>
    <col width="27" customWidth="1" min="155" max="155"/>
    <col width="2.5" customWidth="1" min="156" max="156"/>
    <col width="11" customWidth="1" min="157" max="157"/>
    <col width="27" customWidth="1" min="158" max="158"/>
    <col width="2.5" customWidth="1" min="159" max="159"/>
    <col width="11" customWidth="1" min="160" max="160"/>
    <col width="27" customWidth="1" min="161" max="161"/>
    <col width="2.5" customWidth="1" min="162" max="162"/>
    <col width="11" customWidth="1" min="163" max="163"/>
    <col width="27" customWidth="1" min="164" max="164"/>
    <col width="2.5" customWidth="1" min="165" max="165"/>
    <col width="11" customWidth="1" min="166" max="166"/>
    <col width="27" customWidth="1" min="167" max="167"/>
    <col width="2.5" customWidth="1" min="168" max="168"/>
    <col width="11" customWidth="1" min="169" max="169"/>
    <col width="27" customWidth="1" min="170" max="170"/>
    <col width="2.5" customWidth="1" min="171" max="171"/>
    <col width="11" customWidth="1" min="172" max="172"/>
    <col width="27" customWidth="1" min="173" max="173"/>
    <col width="2.5" customWidth="1" min="174" max="174"/>
    <col width="11" customWidth="1" min="175" max="175"/>
    <col width="27" customWidth="1" min="176" max="176"/>
    <col width="2.5" customWidth="1" min="177" max="177"/>
    <col width="11" customWidth="1" min="178" max="178"/>
    <col width="27" customWidth="1" min="179" max="179"/>
    <col width="2.5" customWidth="1" min="180" max="180"/>
    <col width="11" customWidth="1" min="181" max="181"/>
    <col width="27" customWidth="1" min="182" max="182"/>
    <col width="2.5" customWidth="1" min="183" max="183"/>
    <col width="11" customWidth="1" min="184" max="184"/>
    <col width="27" customWidth="1" min="185" max="185"/>
    <col width="2.5" customWidth="1" min="186" max="186"/>
    <col width="11" customWidth="1" min="187" max="187"/>
    <col width="27" customWidth="1" min="188" max="188"/>
    <col width="2.5" customWidth="1" min="189" max="189"/>
    <col width="11" customWidth="1" min="190" max="190"/>
    <col width="27" customWidth="1" min="191" max="191"/>
    <col width="2.5" customWidth="1" min="192" max="192"/>
    <col width="11" customWidth="1" min="193" max="193"/>
    <col width="27" customWidth="1" min="194" max="194"/>
    <col width="2.5" customWidth="1" min="195" max="195"/>
    <col width="11" customWidth="1" min="196" max="196"/>
    <col width="27" customWidth="1" min="197" max="197"/>
    <col width="2.5" customWidth="1" min="198" max="198"/>
    <col width="11" customWidth="1" min="199" max="199"/>
    <col width="27" customWidth="1" min="200" max="200"/>
    <col width="2.5" customWidth="1" min="201" max="201"/>
    <col width="11" customWidth="1" min="202" max="202"/>
    <col width="27" customWidth="1" min="203" max="203"/>
    <col width="2.5" customWidth="1" min="204" max="204"/>
    <col width="11" customWidth="1" min="205" max="205"/>
    <col width="27" customWidth="1" min="206" max="206"/>
    <col width="2.5" customWidth="1" min="207" max="207"/>
    <col width="11" customWidth="1" min="208" max="208"/>
    <col width="27" customWidth="1" min="209" max="209"/>
    <col width="2.5" customWidth="1" min="210" max="210"/>
    <col width="11" customWidth="1" min="211" max="211"/>
    <col width="27" customWidth="1" min="212" max="212"/>
    <col width="2.5" customWidth="1" min="213" max="213"/>
    <col width="11" customWidth="1" min="214" max="214"/>
    <col width="27" customWidth="1" min="215" max="215"/>
    <col width="2.5" customWidth="1" min="216" max="216"/>
    <col width="11" customWidth="1" min="217" max="217"/>
    <col width="27" customWidth="1" min="218" max="218"/>
    <col width="2.5" customWidth="1" min="219" max="219"/>
    <col width="11" customWidth="1" min="220" max="220"/>
    <col width="27" customWidth="1" min="221" max="221"/>
    <col width="2.5" customWidth="1" min="222" max="222"/>
    <col width="11" customWidth="1" min="223" max="223"/>
    <col width="27" customWidth="1" min="224" max="224"/>
    <col width="2.5" customWidth="1" min="225" max="225"/>
    <col width="11" customWidth="1" min="226" max="226"/>
    <col width="27" customWidth="1" min="227" max="227"/>
    <col width="2.5" customWidth="1" min="228" max="228"/>
    <col width="11" customWidth="1" min="229" max="229"/>
    <col width="27" customWidth="1" min="230" max="230"/>
    <col width="2.5" customWidth="1" min="231" max="231"/>
    <col width="11" customWidth="1" min="232" max="232"/>
    <col width="27" customWidth="1" min="233" max="233"/>
    <col width="2.5" customWidth="1" min="234" max="234"/>
    <col width="11" customWidth="1" min="235" max="235"/>
    <col width="27" customWidth="1" min="236" max="236"/>
    <col width="2.5" customWidth="1" min="237" max="237"/>
    <col width="11" customWidth="1" min="238" max="238"/>
    <col width="27" customWidth="1" min="239" max="239"/>
    <col width="2.5" customWidth="1" min="240" max="240"/>
    <col width="11" customWidth="1" min="241" max="241"/>
    <col width="27" customWidth="1" min="242" max="242"/>
    <col width="2.5" customWidth="1" min="243" max="243"/>
    <col width="11" customWidth="1" min="244" max="244"/>
    <col width="27" customWidth="1" min="245" max="245"/>
    <col width="2.5" customWidth="1" min="246" max="246"/>
    <col width="11" customWidth="1" min="247" max="247"/>
    <col width="27" customWidth="1" min="248" max="248"/>
    <col width="2.5" customWidth="1" min="249" max="249"/>
    <col width="11" customWidth="1" min="250" max="250"/>
    <col width="27" customWidth="1" min="251" max="251"/>
    <col width="2.5" customWidth="1" min="252" max="252"/>
    <col width="11" customWidth="1" min="253" max="253"/>
    <col width="27" customWidth="1" min="254" max="254"/>
    <col width="2.5" customWidth="1" min="255" max="255"/>
    <col width="11" customWidth="1" min="256" max="256"/>
    <col width="27" customWidth="1" min="257" max="257"/>
    <col width="2.5" customWidth="1" min="258" max="258"/>
    <col width="11" customWidth="1" min="259" max="259"/>
    <col width="27" customWidth="1" min="260" max="260"/>
    <col width="2.5" customWidth="1" min="261" max="261"/>
    <col width="11" customWidth="1" min="262" max="262"/>
    <col width="27" customWidth="1" min="263" max="263"/>
    <col width="2.5" customWidth="1" min="264" max="264"/>
    <col width="11" customWidth="1" min="265" max="265"/>
    <col width="27" customWidth="1" min="266" max="266"/>
    <col width="2.5" customWidth="1" min="267" max="267"/>
    <col width="11" customWidth="1" min="268" max="268"/>
    <col width="27" customWidth="1" min="269" max="269"/>
    <col width="2.5" customWidth="1" min="270" max="270"/>
    <col width="11" customWidth="1" min="271" max="271"/>
    <col width="27" customWidth="1" min="272" max="272"/>
    <col width="2.5" customWidth="1" min="273" max="273"/>
    <col width="11" customWidth="1" min="274" max="274"/>
    <col width="27" customWidth="1" min="275" max="275"/>
    <col width="2.5" customWidth="1" min="276" max="276"/>
    <col width="11" customWidth="1" min="277" max="277"/>
    <col width="27" customWidth="1" min="278" max="278"/>
    <col width="2.5" customWidth="1" min="279" max="279"/>
    <col width="11" customWidth="1" min="280" max="280"/>
    <col width="27" customWidth="1" min="281" max="281"/>
    <col width="2.5" customWidth="1" min="282" max="282"/>
    <col width="11" customWidth="1" min="283" max="283"/>
    <col width="27" customWidth="1" min="284" max="284"/>
    <col width="2.5" customWidth="1" min="285" max="285"/>
    <col width="11" customWidth="1" min="286" max="286"/>
    <col width="27" customWidth="1" min="287" max="287"/>
    <col width="2.5" customWidth="1" min="288" max="288"/>
    <col width="11" customWidth="1" min="289" max="289"/>
    <col width="27" customWidth="1" min="290" max="290"/>
    <col width="2.5" customWidth="1" min="291" max="291"/>
    <col width="11" customWidth="1" min="292" max="292"/>
    <col width="27" customWidth="1" min="293" max="293"/>
    <col width="2.5" customWidth="1" min="294" max="294"/>
    <col width="11" customWidth="1" min="295" max="295"/>
    <col width="27" customWidth="1" min="296" max="296"/>
    <col width="2.5" customWidth="1" min="297" max="297"/>
    <col width="11" customWidth="1" min="298" max="298"/>
    <col width="27" customWidth="1" min="299" max="299"/>
    <col width="2.5" customWidth="1" min="300" max="300"/>
    <col width="11" customWidth="1" min="301" max="301"/>
    <col width="27" customWidth="1" min="302" max="302"/>
    <col width="2.5" customWidth="1" min="303" max="303"/>
    <col width="11" customWidth="1" min="304" max="304"/>
    <col width="27" customWidth="1" min="305" max="305"/>
    <col width="2.5" customWidth="1" min="306" max="306"/>
    <col width="11" customWidth="1" min="307" max="307"/>
    <col width="27" customWidth="1" min="308" max="308"/>
    <col width="2.5" customWidth="1" min="309" max="309"/>
    <col width="11" customWidth="1" min="310" max="310"/>
    <col width="27" customWidth="1" min="311" max="311"/>
    <col width="2.5" customWidth="1" min="312" max="312"/>
    <col width="11" customWidth="1" min="313" max="313"/>
    <col width="27" customWidth="1" min="314" max="314"/>
    <col width="2.5" customWidth="1" min="315" max="315"/>
  </cols>
  <sheetData>
    <row r="1">
      <c r="A1" s="28" t="inlineStr">
        <is>
          <t>DATE</t>
        </is>
      </c>
      <c r="B1" s="29" t="n">
        <v>46280</v>
      </c>
      <c r="C1" s="30" t="n"/>
      <c r="D1" s="28" t="inlineStr">
        <is>
          <t>DATE</t>
        </is>
      </c>
      <c r="E1" s="29" t="n">
        <v>46286</v>
      </c>
      <c r="F1" s="30" t="n"/>
      <c r="G1" s="28" t="inlineStr">
        <is>
          <t>DATE</t>
        </is>
      </c>
      <c r="H1" s="29" t="n">
        <v>46293</v>
      </c>
      <c r="I1" s="30" t="n"/>
      <c r="J1" s="28" t="inlineStr">
        <is>
          <t>DATE</t>
        </is>
      </c>
      <c r="K1" s="29" t="n">
        <v>46300</v>
      </c>
      <c r="L1" s="30" t="n"/>
      <c r="M1" s="28" t="inlineStr">
        <is>
          <t>DATE</t>
        </is>
      </c>
      <c r="N1" s="29" t="n">
        <v>46307</v>
      </c>
      <c r="O1" s="30" t="n"/>
      <c r="P1" s="28" t="inlineStr">
        <is>
          <t>DATE</t>
        </is>
      </c>
      <c r="Q1" s="29" t="n">
        <v>46314</v>
      </c>
      <c r="R1" s="30" t="n"/>
      <c r="S1" s="28" t="inlineStr">
        <is>
          <t>DATE</t>
        </is>
      </c>
      <c r="T1" s="29" t="n">
        <v>46321</v>
      </c>
      <c r="U1" s="30" t="n"/>
      <c r="V1" s="28" t="inlineStr">
        <is>
          <t>DATE</t>
        </is>
      </c>
      <c r="W1" s="29" t="n">
        <v>46328</v>
      </c>
      <c r="X1" s="30" t="n"/>
      <c r="Y1" s="28" t="inlineStr">
        <is>
          <t>DATE</t>
        </is>
      </c>
      <c r="Z1" s="29" t="n">
        <v>46335</v>
      </c>
      <c r="AA1" s="30" t="n"/>
      <c r="AB1" s="28" t="inlineStr">
        <is>
          <t>DATE</t>
        </is>
      </c>
      <c r="AC1" s="29" t="n">
        <v>46342</v>
      </c>
      <c r="AD1" s="30" t="n"/>
      <c r="AE1" s="28" t="inlineStr">
        <is>
          <t>DATE</t>
        </is>
      </c>
      <c r="AF1" s="29" t="n">
        <v>46349</v>
      </c>
      <c r="AG1" s="30" t="n"/>
      <c r="AH1" s="28" t="inlineStr">
        <is>
          <t>DATE</t>
        </is>
      </c>
      <c r="AI1" s="29" t="n">
        <v>46356</v>
      </c>
      <c r="AJ1" s="30" t="n"/>
      <c r="AK1" s="28" t="inlineStr">
        <is>
          <t>DATE</t>
        </is>
      </c>
      <c r="AL1" s="29" t="n">
        <v>46363</v>
      </c>
      <c r="AM1" s="30" t="n"/>
      <c r="AN1" s="28" t="inlineStr">
        <is>
          <t>DATE</t>
        </is>
      </c>
      <c r="AO1" s="29" t="n">
        <v>46370</v>
      </c>
      <c r="AP1" s="30" t="n"/>
      <c r="AQ1" s="28" t="inlineStr">
        <is>
          <t>DATE</t>
        </is>
      </c>
      <c r="AR1" s="29" t="n">
        <v>46377</v>
      </c>
      <c r="AS1" s="30" t="n"/>
      <c r="AT1" s="28" t="inlineStr">
        <is>
          <t>DATE</t>
        </is>
      </c>
      <c r="AU1" s="29" t="n">
        <v>46384</v>
      </c>
      <c r="AV1" s="30" t="n"/>
      <c r="AW1" s="28" t="inlineStr">
        <is>
          <t>DATE</t>
        </is>
      </c>
      <c r="AX1" s="29" t="n">
        <v>46391</v>
      </c>
      <c r="AY1" s="30" t="n"/>
      <c r="AZ1" s="28" t="inlineStr">
        <is>
          <t>DATE</t>
        </is>
      </c>
      <c r="BA1" s="29" t="n">
        <v>46398</v>
      </c>
      <c r="BB1" s="30" t="n"/>
      <c r="BC1" s="28" t="inlineStr">
        <is>
          <t>DATE</t>
        </is>
      </c>
      <c r="BD1" s="29" t="n">
        <v>46405</v>
      </c>
      <c r="BE1" s="30" t="n"/>
      <c r="BF1" s="28" t="inlineStr">
        <is>
          <t>DATE</t>
        </is>
      </c>
      <c r="BG1" s="29" t="n">
        <v>46412</v>
      </c>
      <c r="BH1" s="30" t="n"/>
      <c r="BI1" s="28" t="inlineStr">
        <is>
          <t>DATE</t>
        </is>
      </c>
      <c r="BJ1" s="29" t="n">
        <v>46419</v>
      </c>
      <c r="BK1" s="30" t="n"/>
      <c r="BL1" s="28" t="inlineStr">
        <is>
          <t>DATE</t>
        </is>
      </c>
      <c r="BM1" s="29" t="n">
        <v>46426</v>
      </c>
      <c r="BN1" s="30" t="n"/>
      <c r="BO1" s="28" t="inlineStr">
        <is>
          <t>DATE</t>
        </is>
      </c>
      <c r="BP1" s="29" t="n">
        <v>46433</v>
      </c>
      <c r="BQ1" s="30" t="n"/>
      <c r="BR1" s="28" t="inlineStr">
        <is>
          <t>DATE</t>
        </is>
      </c>
      <c r="BS1" s="29" t="n">
        <v>46440</v>
      </c>
      <c r="BT1" s="30" t="n"/>
      <c r="BU1" s="28" t="inlineStr">
        <is>
          <t>DATE</t>
        </is>
      </c>
      <c r="BV1" s="29" t="n">
        <v>46447</v>
      </c>
      <c r="BW1" s="30" t="n"/>
      <c r="BX1" s="28" t="inlineStr">
        <is>
          <t>DATE</t>
        </is>
      </c>
      <c r="BY1" s="29" t="n">
        <v>46454</v>
      </c>
      <c r="BZ1" s="30" t="n"/>
      <c r="CA1" s="28" t="inlineStr">
        <is>
          <t>DATE</t>
        </is>
      </c>
      <c r="CB1" s="29" t="n">
        <v>46461</v>
      </c>
      <c r="CC1" s="30" t="n"/>
      <c r="CD1" s="28" t="inlineStr">
        <is>
          <t>DATE</t>
        </is>
      </c>
      <c r="CE1" s="29" t="n">
        <v>46468</v>
      </c>
      <c r="CF1" s="30" t="n"/>
      <c r="CG1" s="28" t="inlineStr">
        <is>
          <t>DATE</t>
        </is>
      </c>
      <c r="CH1" s="29" t="n">
        <v>46475</v>
      </c>
      <c r="CI1" s="30" t="n"/>
      <c r="CJ1" s="28" t="inlineStr">
        <is>
          <t>DATE</t>
        </is>
      </c>
      <c r="CK1" s="29" t="n">
        <v>46482</v>
      </c>
      <c r="CL1" s="30" t="n"/>
      <c r="CM1" s="28" t="inlineStr">
        <is>
          <t>DATE</t>
        </is>
      </c>
      <c r="CN1" s="29" t="n">
        <v>46489</v>
      </c>
      <c r="CO1" s="30" t="n"/>
      <c r="CP1" s="28" t="inlineStr">
        <is>
          <t>DATE</t>
        </is>
      </c>
      <c r="CQ1" s="29" t="n">
        <v>46496</v>
      </c>
      <c r="CR1" s="30" t="n"/>
      <c r="CS1" s="28" t="inlineStr">
        <is>
          <t>DATE</t>
        </is>
      </c>
      <c r="CT1" s="29" t="n">
        <v>46503</v>
      </c>
      <c r="CU1" s="30" t="n"/>
      <c r="CV1" s="28" t="inlineStr">
        <is>
          <t>DATE</t>
        </is>
      </c>
      <c r="CW1" s="29" t="n">
        <v>46510</v>
      </c>
      <c r="CX1" s="30" t="n"/>
      <c r="CY1" s="28" t="inlineStr">
        <is>
          <t>DATE</t>
        </is>
      </c>
      <c r="CZ1" s="29" t="n">
        <v>46517</v>
      </c>
      <c r="DA1" s="30" t="n"/>
      <c r="DB1" s="28" t="inlineStr">
        <is>
          <t>DATE</t>
        </is>
      </c>
      <c r="DC1" s="29" t="n">
        <v>46524</v>
      </c>
      <c r="DD1" s="30" t="n"/>
      <c r="DE1" s="28" t="inlineStr">
        <is>
          <t>DATE</t>
        </is>
      </c>
      <c r="DF1" s="29" t="n">
        <v>46531</v>
      </c>
      <c r="DG1" s="30" t="n"/>
      <c r="DH1" s="28" t="inlineStr">
        <is>
          <t>DATE</t>
        </is>
      </c>
      <c r="DI1" s="29" t="n">
        <v>46538</v>
      </c>
      <c r="DJ1" s="30" t="n"/>
      <c r="DK1" s="28" t="inlineStr">
        <is>
          <t>DATE</t>
        </is>
      </c>
      <c r="DL1" s="29" t="n">
        <v>46545</v>
      </c>
      <c r="DM1" s="30" t="n"/>
      <c r="DN1" s="28" t="inlineStr">
        <is>
          <t>DATE</t>
        </is>
      </c>
      <c r="DO1" s="29" t="n">
        <v>46552</v>
      </c>
      <c r="DP1" s="30" t="n"/>
      <c r="DQ1" s="28" t="inlineStr">
        <is>
          <t>DATE</t>
        </is>
      </c>
      <c r="DR1" s="29" t="n">
        <v>46559</v>
      </c>
      <c r="DS1" s="30" t="n"/>
      <c r="DT1" s="28" t="inlineStr">
        <is>
          <t>DATE</t>
        </is>
      </c>
      <c r="DU1" s="29" t="n">
        <v>46566</v>
      </c>
      <c r="DV1" s="30" t="n"/>
      <c r="DW1" s="28" t="inlineStr">
        <is>
          <t>DATE</t>
        </is>
      </c>
      <c r="DX1" s="29" t="n">
        <v>46573</v>
      </c>
      <c r="DY1" s="30" t="n"/>
      <c r="DZ1" s="28" t="inlineStr">
        <is>
          <t>DATE</t>
        </is>
      </c>
      <c r="EA1" s="29" t="n">
        <v>46580</v>
      </c>
      <c r="EB1" s="30" t="n"/>
      <c r="EC1" s="28" t="inlineStr">
        <is>
          <t>DATE</t>
        </is>
      </c>
      <c r="ED1" s="29" t="n">
        <v>46587</v>
      </c>
      <c r="EE1" s="30" t="n"/>
      <c r="EF1" s="28" t="inlineStr">
        <is>
          <t>DATE</t>
        </is>
      </c>
      <c r="EG1" s="29" t="n">
        <v>46594</v>
      </c>
      <c r="EH1" s="30" t="n"/>
      <c r="EI1" s="28" t="inlineStr">
        <is>
          <t>DATE</t>
        </is>
      </c>
      <c r="EJ1" s="29" t="n">
        <v>46601</v>
      </c>
      <c r="EK1" s="30" t="n"/>
      <c r="EL1" s="28" t="inlineStr">
        <is>
          <t>DATE</t>
        </is>
      </c>
      <c r="EM1" s="29" t="n">
        <v>46608</v>
      </c>
      <c r="EN1" s="30" t="n"/>
      <c r="EO1" s="28" t="inlineStr">
        <is>
          <t>DATE</t>
        </is>
      </c>
      <c r="EP1" s="29" t="n">
        <v>46615</v>
      </c>
      <c r="EQ1" s="30" t="n"/>
      <c r="ER1" s="28" t="inlineStr">
        <is>
          <t>DATE</t>
        </is>
      </c>
      <c r="ES1" s="29" t="n">
        <v>46622</v>
      </c>
      <c r="ET1" s="30" t="n"/>
      <c r="EU1" s="28" t="inlineStr">
        <is>
          <t>DATE</t>
        </is>
      </c>
      <c r="EV1" s="29" t="n">
        <v>46629</v>
      </c>
      <c r="EW1" s="30" t="n"/>
      <c r="EX1" s="28" t="inlineStr">
        <is>
          <t>DATE</t>
        </is>
      </c>
      <c r="EY1" s="29" t="n">
        <v>46636</v>
      </c>
      <c r="EZ1" s="30" t="n"/>
      <c r="FA1" s="28" t="inlineStr">
        <is>
          <t>DATE</t>
        </is>
      </c>
      <c r="FB1" s="29" t="n">
        <v>46643</v>
      </c>
      <c r="FC1" s="30" t="n"/>
      <c r="FD1" s="28" t="inlineStr">
        <is>
          <t>DATE</t>
        </is>
      </c>
      <c r="FE1" s="29" t="n">
        <v>46650</v>
      </c>
      <c r="FF1" s="30" t="n"/>
      <c r="FG1" s="28" t="inlineStr">
        <is>
          <t>DATE</t>
        </is>
      </c>
      <c r="FH1" s="29" t="n">
        <v>46657</v>
      </c>
      <c r="FI1" s="30" t="n"/>
      <c r="FJ1" s="28" t="inlineStr">
        <is>
          <t>DATE</t>
        </is>
      </c>
      <c r="FK1" s="29" t="n">
        <v>46664</v>
      </c>
      <c r="FL1" s="30" t="n"/>
      <c r="FM1" s="28" t="inlineStr">
        <is>
          <t>DATE</t>
        </is>
      </c>
      <c r="FN1" s="29" t="n">
        <v>46671</v>
      </c>
      <c r="FO1" s="30" t="n"/>
      <c r="FP1" s="28" t="inlineStr">
        <is>
          <t>DATE</t>
        </is>
      </c>
      <c r="FQ1" s="29" t="n">
        <v>46678</v>
      </c>
      <c r="FR1" s="30" t="n"/>
      <c r="FS1" s="28" t="inlineStr">
        <is>
          <t>DATE</t>
        </is>
      </c>
      <c r="FT1" s="29" t="n">
        <v>46685</v>
      </c>
      <c r="FU1" s="30" t="n"/>
      <c r="FV1" s="28" t="inlineStr">
        <is>
          <t>DATE</t>
        </is>
      </c>
      <c r="FW1" s="29" t="n">
        <v>46692</v>
      </c>
      <c r="FX1" s="30" t="n"/>
      <c r="FY1" s="28" t="inlineStr">
        <is>
          <t>DATE</t>
        </is>
      </c>
      <c r="FZ1" s="29" t="n">
        <v>46699</v>
      </c>
      <c r="GA1" s="30" t="n"/>
      <c r="GB1" s="28" t="inlineStr">
        <is>
          <t>DATE</t>
        </is>
      </c>
      <c r="GC1" s="29" t="n">
        <v>46706</v>
      </c>
      <c r="GD1" s="30" t="n"/>
      <c r="GE1" s="28" t="inlineStr">
        <is>
          <t>DATE</t>
        </is>
      </c>
      <c r="GF1" s="29" t="n">
        <v>46713</v>
      </c>
      <c r="GG1" s="30" t="n"/>
      <c r="GH1" s="28" t="inlineStr">
        <is>
          <t>DATE</t>
        </is>
      </c>
      <c r="GI1" s="29" t="n">
        <v>46720</v>
      </c>
      <c r="GJ1" s="30" t="n"/>
      <c r="GK1" s="28" t="inlineStr">
        <is>
          <t>DATE</t>
        </is>
      </c>
      <c r="GL1" s="29" t="n">
        <v>46727</v>
      </c>
      <c r="GM1" s="30" t="n"/>
      <c r="GN1" s="28" t="inlineStr">
        <is>
          <t>DATE</t>
        </is>
      </c>
      <c r="GO1" s="29" t="n">
        <v>46734</v>
      </c>
      <c r="GP1" s="30" t="n"/>
      <c r="GQ1" s="28" t="inlineStr">
        <is>
          <t>DATE</t>
        </is>
      </c>
      <c r="GR1" s="29" t="n">
        <v>46741</v>
      </c>
      <c r="GS1" s="30" t="n"/>
      <c r="GT1" s="28" t="inlineStr">
        <is>
          <t>DATE</t>
        </is>
      </c>
      <c r="GU1" s="29" t="n">
        <v>46748</v>
      </c>
      <c r="GV1" s="30" t="n"/>
      <c r="GW1" s="28" t="inlineStr">
        <is>
          <t>DATE</t>
        </is>
      </c>
      <c r="GX1" s="29" t="n">
        <v>46755</v>
      </c>
      <c r="GY1" s="30" t="n"/>
      <c r="GZ1" s="28" t="inlineStr">
        <is>
          <t>DATE</t>
        </is>
      </c>
      <c r="HA1" s="29" t="n">
        <v>46762</v>
      </c>
      <c r="HB1" s="30" t="n"/>
      <c r="HC1" s="28" t="inlineStr">
        <is>
          <t>DATE</t>
        </is>
      </c>
      <c r="HD1" s="29" t="n">
        <v>46769</v>
      </c>
      <c r="HE1" s="30" t="n"/>
      <c r="HF1" s="28" t="inlineStr">
        <is>
          <t>DATE</t>
        </is>
      </c>
      <c r="HG1" s="29" t="n">
        <v>46776</v>
      </c>
      <c r="HH1" s="30" t="n"/>
      <c r="HI1" s="28" t="inlineStr">
        <is>
          <t>DATE</t>
        </is>
      </c>
      <c r="HJ1" s="29" t="n">
        <v>46783</v>
      </c>
      <c r="HK1" s="30" t="n"/>
      <c r="HL1" s="28" t="inlineStr">
        <is>
          <t>DATE</t>
        </is>
      </c>
      <c r="HM1" s="29" t="n">
        <v>46790</v>
      </c>
      <c r="HN1" s="30" t="n"/>
      <c r="HO1" s="28" t="inlineStr">
        <is>
          <t>DATE</t>
        </is>
      </c>
      <c r="HP1" s="29" t="n">
        <v>46797</v>
      </c>
      <c r="HQ1" s="30" t="n"/>
      <c r="HR1" s="28" t="inlineStr">
        <is>
          <t>DATE</t>
        </is>
      </c>
      <c r="HS1" s="29" t="n">
        <v>46804</v>
      </c>
      <c r="HT1" s="30" t="n"/>
      <c r="HU1" s="28" t="inlineStr">
        <is>
          <t>DATE</t>
        </is>
      </c>
      <c r="HV1" s="29" t="n">
        <v>46811</v>
      </c>
      <c r="HW1" s="30" t="n"/>
      <c r="HX1" s="28" t="inlineStr">
        <is>
          <t>DATE</t>
        </is>
      </c>
      <c r="HY1" s="29" t="n">
        <v>46818</v>
      </c>
      <c r="HZ1" s="30" t="n"/>
      <c r="IA1" s="28" t="inlineStr">
        <is>
          <t>DATE</t>
        </is>
      </c>
      <c r="IB1" s="29" t="n">
        <v>46825</v>
      </c>
      <c r="IC1" s="30" t="n"/>
      <c r="ID1" s="28" t="inlineStr">
        <is>
          <t>DATE</t>
        </is>
      </c>
      <c r="IE1" s="29" t="n">
        <v>46832</v>
      </c>
      <c r="IF1" s="30" t="n"/>
      <c r="IG1" s="28" t="inlineStr">
        <is>
          <t>DATE</t>
        </is>
      </c>
      <c r="IH1" s="29" t="n">
        <v>46839</v>
      </c>
      <c r="II1" s="30" t="n"/>
      <c r="IJ1" s="28" t="inlineStr">
        <is>
          <t>DATE</t>
        </is>
      </c>
      <c r="IK1" s="29" t="n">
        <v>46846</v>
      </c>
      <c r="IL1" s="30" t="n"/>
      <c r="IM1" s="28" t="inlineStr">
        <is>
          <t>DATE</t>
        </is>
      </c>
      <c r="IN1" s="29" t="n">
        <v>46853</v>
      </c>
      <c r="IO1" s="30" t="n"/>
      <c r="IP1" s="28" t="inlineStr">
        <is>
          <t>DATE</t>
        </is>
      </c>
      <c r="IQ1" s="29" t="n">
        <v>46860</v>
      </c>
      <c r="IR1" s="30" t="n"/>
      <c r="IS1" s="28" t="inlineStr">
        <is>
          <t>DATE</t>
        </is>
      </c>
      <c r="IT1" s="29" t="n">
        <v>46867</v>
      </c>
      <c r="IU1" s="30" t="n"/>
      <c r="IV1" s="28" t="inlineStr">
        <is>
          <t>DATE</t>
        </is>
      </c>
      <c r="IW1" s="29" t="n">
        <v>46874</v>
      </c>
      <c r="IX1" s="30" t="n"/>
      <c r="IY1" s="28" t="inlineStr">
        <is>
          <t>DATE</t>
        </is>
      </c>
      <c r="IZ1" s="29" t="n">
        <v>46881</v>
      </c>
      <c r="JA1" s="30" t="n"/>
      <c r="JB1" s="28" t="inlineStr">
        <is>
          <t>DATE</t>
        </is>
      </c>
      <c r="JC1" s="29" t="n">
        <v>46888</v>
      </c>
      <c r="JD1" s="30" t="n"/>
      <c r="JE1" s="28" t="inlineStr">
        <is>
          <t>DATE</t>
        </is>
      </c>
      <c r="JF1" s="29" t="n">
        <v>46895</v>
      </c>
      <c r="JG1" s="30" t="n"/>
      <c r="JH1" s="28" t="inlineStr">
        <is>
          <t>DATE</t>
        </is>
      </c>
      <c r="JI1" s="29" t="n">
        <v>46902</v>
      </c>
      <c r="JJ1" s="30" t="n"/>
      <c r="JK1" s="28" t="inlineStr">
        <is>
          <t>DATE</t>
        </is>
      </c>
      <c r="JL1" s="29" t="n">
        <v>46909</v>
      </c>
      <c r="JM1" s="30" t="n"/>
      <c r="JN1" s="28" t="inlineStr">
        <is>
          <t>DATE</t>
        </is>
      </c>
      <c r="JO1" s="29" t="n">
        <v>46916</v>
      </c>
      <c r="JP1" s="30" t="n"/>
      <c r="JQ1" s="28" t="inlineStr">
        <is>
          <t>DATE</t>
        </is>
      </c>
      <c r="JR1" s="29" t="n">
        <v>46923</v>
      </c>
      <c r="JS1" s="30" t="n"/>
      <c r="JT1" s="28" t="inlineStr">
        <is>
          <t>DATE</t>
        </is>
      </c>
      <c r="JU1" s="29" t="n">
        <v>46930</v>
      </c>
      <c r="JV1" s="30" t="n"/>
      <c r="JW1" s="28" t="inlineStr">
        <is>
          <t>DATE</t>
        </is>
      </c>
      <c r="JX1" s="29" t="n">
        <v>46937</v>
      </c>
      <c r="JY1" s="30" t="n"/>
      <c r="JZ1" s="28" t="inlineStr">
        <is>
          <t>DATE</t>
        </is>
      </c>
      <c r="KA1" s="29" t="n">
        <v>46944</v>
      </c>
      <c r="KB1" s="30" t="n"/>
      <c r="KC1" s="28" t="inlineStr">
        <is>
          <t>DATE</t>
        </is>
      </c>
      <c r="KD1" s="29" t="n">
        <v>46951</v>
      </c>
      <c r="KE1" s="30" t="n"/>
      <c r="KF1" s="28" t="inlineStr">
        <is>
          <t>DATE</t>
        </is>
      </c>
      <c r="KG1" s="29" t="n">
        <v>46958</v>
      </c>
      <c r="KH1" s="30" t="n"/>
      <c r="KI1" s="28" t="inlineStr">
        <is>
          <t>DATE</t>
        </is>
      </c>
      <c r="KJ1" s="29" t="n">
        <v>46965</v>
      </c>
      <c r="KK1" s="30" t="n"/>
      <c r="KL1" s="28" t="inlineStr">
        <is>
          <t>DATE</t>
        </is>
      </c>
      <c r="KM1" s="29" t="n">
        <v>46972</v>
      </c>
      <c r="KN1" s="30" t="n"/>
      <c r="KO1" s="28" t="inlineStr">
        <is>
          <t>DATE</t>
        </is>
      </c>
      <c r="KP1" s="29" t="n">
        <v>46979</v>
      </c>
      <c r="KQ1" s="30" t="n"/>
      <c r="KR1" s="28" t="inlineStr">
        <is>
          <t>DATE</t>
        </is>
      </c>
      <c r="KS1" s="29" t="n">
        <v>46986</v>
      </c>
      <c r="KT1" s="30" t="n"/>
      <c r="KU1" s="28" t="inlineStr">
        <is>
          <t>DATE</t>
        </is>
      </c>
      <c r="KV1" s="29" t="n">
        <v>46993</v>
      </c>
      <c r="KW1" s="30" t="n"/>
      <c r="KX1" s="28" t="inlineStr">
        <is>
          <t>DATE</t>
        </is>
      </c>
      <c r="KY1" s="29" t="n">
        <v>47000</v>
      </c>
      <c r="KZ1" s="30" t="n"/>
      <c r="LA1" s="28" t="inlineStr">
        <is>
          <t>DATE</t>
        </is>
      </c>
      <c r="LB1" s="29" t="n">
        <v>47007</v>
      </c>
      <c r="LC1" s="30" t="n"/>
    </row>
    <row r="3">
      <c r="A3" s="31" t="inlineStr">
        <is>
          <t>BURNSVILLE</t>
        </is>
      </c>
      <c r="B3" s="31" t="n"/>
      <c r="D3" s="31" t="inlineStr">
        <is>
          <t>BURNSVILLE</t>
        </is>
      </c>
      <c r="E3" s="31" t="n"/>
      <c r="G3" s="31" t="inlineStr">
        <is>
          <t>BURNSVILLE</t>
        </is>
      </c>
      <c r="H3" s="31" t="n"/>
      <c r="J3" s="31" t="inlineStr">
        <is>
          <t>BURNSVILLE</t>
        </is>
      </c>
      <c r="K3" s="31" t="n"/>
      <c r="M3" s="31" t="inlineStr">
        <is>
          <t>BURNSVILLE</t>
        </is>
      </c>
      <c r="N3" s="31" t="n"/>
      <c r="P3" s="31" t="inlineStr">
        <is>
          <t>BURNSVILLE</t>
        </is>
      </c>
      <c r="Q3" s="31" t="n"/>
      <c r="S3" s="31" t="inlineStr">
        <is>
          <t>BURNSVILLE</t>
        </is>
      </c>
      <c r="T3" s="31" t="n"/>
      <c r="V3" s="31" t="inlineStr">
        <is>
          <t>BURNSVILLE</t>
        </is>
      </c>
      <c r="W3" s="31" t="n"/>
      <c r="Y3" s="31" t="inlineStr">
        <is>
          <t>BURNSVILLE</t>
        </is>
      </c>
      <c r="Z3" s="31" t="n"/>
      <c r="AB3" s="31" t="inlineStr">
        <is>
          <t>BURNSVILLE</t>
        </is>
      </c>
      <c r="AC3" s="31" t="n"/>
      <c r="AE3" s="31" t="inlineStr">
        <is>
          <t>BURNSVILLE</t>
        </is>
      </c>
      <c r="AF3" s="31" t="n"/>
      <c r="AH3" s="31" t="inlineStr">
        <is>
          <t>BURNSVILLE</t>
        </is>
      </c>
      <c r="AI3" s="31" t="n"/>
      <c r="AK3" s="31" t="inlineStr">
        <is>
          <t>BURNSVILLE</t>
        </is>
      </c>
      <c r="AL3" s="31" t="n"/>
      <c r="AN3" s="31" t="inlineStr">
        <is>
          <t>BURNSVILLE</t>
        </is>
      </c>
      <c r="AO3" s="31" t="n"/>
      <c r="AQ3" s="31" t="inlineStr">
        <is>
          <t>BURNSVILLE</t>
        </is>
      </c>
      <c r="AR3" s="31" t="n"/>
      <c r="AT3" s="31" t="inlineStr">
        <is>
          <t>BURNSVILLE</t>
        </is>
      </c>
      <c r="AU3" s="31" t="n"/>
      <c r="AW3" s="31" t="inlineStr">
        <is>
          <t>BURNSVILLE</t>
        </is>
      </c>
      <c r="AX3" s="31" t="n"/>
      <c r="AZ3" s="31" t="inlineStr">
        <is>
          <t>BURNSVILLE</t>
        </is>
      </c>
      <c r="BA3" s="31" t="n"/>
      <c r="BC3" s="31" t="inlineStr">
        <is>
          <t>BURNSVILLE</t>
        </is>
      </c>
      <c r="BD3" s="31" t="n"/>
      <c r="BF3" s="31" t="inlineStr">
        <is>
          <t>BURNSVILLE</t>
        </is>
      </c>
      <c r="BG3" s="31" t="n"/>
      <c r="BI3" s="31" t="inlineStr">
        <is>
          <t>BURNSVILLE</t>
        </is>
      </c>
      <c r="BJ3" s="31" t="n"/>
      <c r="BL3" s="31" t="inlineStr">
        <is>
          <t>BURNSVILLE</t>
        </is>
      </c>
      <c r="BM3" s="31" t="n"/>
      <c r="BO3" s="31" t="inlineStr">
        <is>
          <t>BURNSVILLE</t>
        </is>
      </c>
      <c r="BP3" s="31" t="n"/>
      <c r="BR3" s="31" t="inlineStr">
        <is>
          <t>BURNSVILLE</t>
        </is>
      </c>
      <c r="BS3" s="31" t="n"/>
      <c r="BU3" s="31" t="inlineStr">
        <is>
          <t>BURNSVILLE</t>
        </is>
      </c>
      <c r="BV3" s="31" t="n"/>
      <c r="BX3" s="31" t="inlineStr">
        <is>
          <t>BURNSVILLE</t>
        </is>
      </c>
      <c r="BY3" s="31" t="n"/>
      <c r="CA3" s="31" t="inlineStr">
        <is>
          <t>BURNSVILLE</t>
        </is>
      </c>
      <c r="CB3" s="31" t="n"/>
      <c r="CD3" s="31" t="inlineStr">
        <is>
          <t>BURNSVILLE</t>
        </is>
      </c>
      <c r="CE3" s="31" t="n"/>
      <c r="CG3" s="31" t="inlineStr">
        <is>
          <t>BURNSVILLE</t>
        </is>
      </c>
      <c r="CH3" s="31" t="n"/>
      <c r="CJ3" s="31" t="inlineStr">
        <is>
          <t>BURNSVILLE</t>
        </is>
      </c>
      <c r="CK3" s="31" t="n"/>
      <c r="CM3" s="31" t="inlineStr">
        <is>
          <t>BURNSVILLE</t>
        </is>
      </c>
      <c r="CN3" s="31" t="n"/>
      <c r="CP3" s="31" t="inlineStr">
        <is>
          <t>BURNSVILLE</t>
        </is>
      </c>
      <c r="CQ3" s="31" t="n"/>
      <c r="CS3" s="31" t="inlineStr">
        <is>
          <t>BURNSVILLE</t>
        </is>
      </c>
      <c r="CT3" s="31" t="n"/>
      <c r="CV3" s="31" t="inlineStr">
        <is>
          <t>BURNSVILLE</t>
        </is>
      </c>
      <c r="CW3" s="31" t="n"/>
      <c r="CY3" s="31" t="inlineStr">
        <is>
          <t>BURNSVILLE</t>
        </is>
      </c>
      <c r="CZ3" s="31" t="n"/>
      <c r="DB3" s="31" t="inlineStr">
        <is>
          <t>BURNSVILLE</t>
        </is>
      </c>
      <c r="DC3" s="31" t="n"/>
      <c r="DE3" s="31" t="inlineStr">
        <is>
          <t>BURNSVILLE</t>
        </is>
      </c>
      <c r="DF3" s="31" t="n"/>
      <c r="DH3" s="31" t="inlineStr">
        <is>
          <t>BURNSVILLE</t>
        </is>
      </c>
      <c r="DI3" s="31" t="n"/>
      <c r="DK3" s="31" t="inlineStr">
        <is>
          <t>BURNSVILLE</t>
        </is>
      </c>
      <c r="DL3" s="31" t="n"/>
      <c r="DN3" s="31" t="inlineStr">
        <is>
          <t>BURNSVILLE</t>
        </is>
      </c>
      <c r="DO3" s="31" t="n"/>
      <c r="DQ3" s="31" t="inlineStr">
        <is>
          <t>BURNSVILLE</t>
        </is>
      </c>
      <c r="DR3" s="31" t="n"/>
      <c r="DT3" s="31" t="inlineStr">
        <is>
          <t>BURNSVILLE</t>
        </is>
      </c>
      <c r="DU3" s="31" t="n"/>
      <c r="DW3" s="31" t="inlineStr">
        <is>
          <t>BURNSVILLE</t>
        </is>
      </c>
      <c r="DX3" s="31" t="n"/>
      <c r="DZ3" s="31" t="inlineStr">
        <is>
          <t>BURNSVILLE</t>
        </is>
      </c>
      <c r="EA3" s="31" t="n"/>
      <c r="EC3" s="31" t="inlineStr">
        <is>
          <t>BURNSVILLE</t>
        </is>
      </c>
      <c r="ED3" s="31" t="n"/>
      <c r="EF3" s="31" t="inlineStr">
        <is>
          <t>BURNSVILLE</t>
        </is>
      </c>
      <c r="EG3" s="31" t="n"/>
      <c r="EI3" s="31" t="inlineStr">
        <is>
          <t>BURNSVILLE</t>
        </is>
      </c>
      <c r="EJ3" s="31" t="n"/>
      <c r="EL3" s="31" t="inlineStr">
        <is>
          <t>BURNSVILLE</t>
        </is>
      </c>
      <c r="EM3" s="31" t="n"/>
      <c r="EO3" s="31" t="inlineStr">
        <is>
          <t>BURNSVILLE</t>
        </is>
      </c>
      <c r="EP3" s="31" t="n"/>
      <c r="ER3" s="31" t="inlineStr">
        <is>
          <t>BURNSVILLE</t>
        </is>
      </c>
      <c r="ES3" s="31" t="n"/>
      <c r="EU3" s="31" t="inlineStr">
        <is>
          <t>BURNSVILLE</t>
        </is>
      </c>
      <c r="EV3" s="31" t="n"/>
      <c r="EX3" s="31" t="inlineStr">
        <is>
          <t>BURNSVILLE</t>
        </is>
      </c>
      <c r="EY3" s="31" t="n"/>
      <c r="FA3" s="31" t="inlineStr">
        <is>
          <t>BURNSVILLE</t>
        </is>
      </c>
      <c r="FB3" s="31" t="n"/>
      <c r="FD3" s="31" t="inlineStr">
        <is>
          <t>BURNSVILLE</t>
        </is>
      </c>
      <c r="FE3" s="31" t="n"/>
      <c r="FG3" s="31" t="inlineStr">
        <is>
          <t>BURNSVILLE</t>
        </is>
      </c>
      <c r="FH3" s="31" t="n"/>
      <c r="FJ3" s="31" t="inlineStr">
        <is>
          <t>BURNSVILLE</t>
        </is>
      </c>
      <c r="FK3" s="31" t="n"/>
      <c r="FM3" s="31" t="inlineStr">
        <is>
          <t>BURNSVILLE</t>
        </is>
      </c>
      <c r="FN3" s="31" t="n"/>
      <c r="FP3" s="31" t="inlineStr">
        <is>
          <t>BURNSVILLE</t>
        </is>
      </c>
      <c r="FQ3" s="31" t="n"/>
      <c r="FS3" s="31" t="inlineStr">
        <is>
          <t>BURNSVILLE</t>
        </is>
      </c>
      <c r="FT3" s="31" t="n"/>
      <c r="FV3" s="31" t="inlineStr">
        <is>
          <t>BURNSVILLE</t>
        </is>
      </c>
      <c r="FW3" s="31" t="n"/>
      <c r="FY3" s="31" t="inlineStr">
        <is>
          <t>BURNSVILLE</t>
        </is>
      </c>
      <c r="FZ3" s="31" t="n"/>
      <c r="GB3" s="31" t="inlineStr">
        <is>
          <t>BURNSVILLE</t>
        </is>
      </c>
      <c r="GC3" s="31" t="n"/>
      <c r="GE3" s="31" t="inlineStr">
        <is>
          <t>BURNSVILLE</t>
        </is>
      </c>
      <c r="GF3" s="31" t="n"/>
      <c r="GH3" s="31" t="inlineStr">
        <is>
          <t>BURNSVILLE</t>
        </is>
      </c>
      <c r="GI3" s="31" t="n"/>
      <c r="GK3" s="31" t="inlineStr">
        <is>
          <t>BURNSVILLE</t>
        </is>
      </c>
      <c r="GL3" s="31" t="n"/>
      <c r="GN3" s="31" t="inlineStr">
        <is>
          <t>BURNSVILLE</t>
        </is>
      </c>
      <c r="GO3" s="31" t="n"/>
      <c r="GQ3" s="31" t="inlineStr">
        <is>
          <t>BURNSVILLE</t>
        </is>
      </c>
      <c r="GR3" s="31" t="n"/>
      <c r="GT3" s="31" t="inlineStr">
        <is>
          <t>BURNSVILLE</t>
        </is>
      </c>
      <c r="GU3" s="31" t="n"/>
      <c r="GW3" s="31" t="inlineStr">
        <is>
          <t>BURNSVILLE</t>
        </is>
      </c>
      <c r="GX3" s="31" t="n"/>
      <c r="GZ3" s="31" t="inlineStr">
        <is>
          <t>BURNSVILLE</t>
        </is>
      </c>
      <c r="HA3" s="31" t="n"/>
      <c r="HC3" s="31" t="inlineStr">
        <is>
          <t>BURNSVILLE</t>
        </is>
      </c>
      <c r="HD3" s="31" t="n"/>
      <c r="HF3" s="31" t="inlineStr">
        <is>
          <t>BURNSVILLE</t>
        </is>
      </c>
      <c r="HG3" s="31" t="n"/>
      <c r="HI3" s="31" t="inlineStr">
        <is>
          <t>BURNSVILLE</t>
        </is>
      </c>
      <c r="HJ3" s="31" t="n"/>
      <c r="HL3" s="31" t="inlineStr">
        <is>
          <t>BURNSVILLE</t>
        </is>
      </c>
      <c r="HM3" s="31" t="n"/>
      <c r="HO3" s="31" t="inlineStr">
        <is>
          <t>BURNSVILLE</t>
        </is>
      </c>
      <c r="HP3" s="31" t="n"/>
      <c r="HR3" s="31" t="inlineStr">
        <is>
          <t>BURNSVILLE</t>
        </is>
      </c>
      <c r="HS3" s="31" t="n"/>
      <c r="HU3" s="31" t="inlineStr">
        <is>
          <t>BURNSVILLE</t>
        </is>
      </c>
      <c r="HV3" s="31" t="n"/>
      <c r="HX3" s="31" t="inlineStr">
        <is>
          <t>BURNSVILLE</t>
        </is>
      </c>
      <c r="HY3" s="31" t="n"/>
      <c r="IA3" s="31" t="inlineStr">
        <is>
          <t>BURNSVILLE</t>
        </is>
      </c>
      <c r="IB3" s="31" t="n"/>
      <c r="ID3" s="31" t="inlineStr">
        <is>
          <t>BURNSVILLE</t>
        </is>
      </c>
      <c r="IE3" s="31" t="n"/>
      <c r="IG3" s="31" t="inlineStr">
        <is>
          <t>BURNSVILLE</t>
        </is>
      </c>
      <c r="IH3" s="31" t="n"/>
      <c r="IJ3" s="31" t="inlineStr">
        <is>
          <t>BURNSVILLE</t>
        </is>
      </c>
      <c r="IK3" s="31" t="n"/>
      <c r="IM3" s="31" t="inlineStr">
        <is>
          <t>BURNSVILLE</t>
        </is>
      </c>
      <c r="IN3" s="31" t="n"/>
      <c r="IP3" s="31" t="inlineStr">
        <is>
          <t>BURNSVILLE</t>
        </is>
      </c>
      <c r="IQ3" s="31" t="n"/>
      <c r="IS3" s="31" t="inlineStr">
        <is>
          <t>BURNSVILLE</t>
        </is>
      </c>
      <c r="IT3" s="31" t="n"/>
      <c r="IV3" s="31" t="inlineStr">
        <is>
          <t>BURNSVILLE</t>
        </is>
      </c>
      <c r="IW3" s="31" t="n"/>
      <c r="IY3" s="31" t="inlineStr">
        <is>
          <t>BURNSVILLE</t>
        </is>
      </c>
      <c r="IZ3" s="31" t="n"/>
      <c r="JB3" s="31" t="inlineStr">
        <is>
          <t>BURNSVILLE</t>
        </is>
      </c>
      <c r="JC3" s="31" t="n"/>
      <c r="JE3" s="31" t="inlineStr">
        <is>
          <t>BURNSVILLE</t>
        </is>
      </c>
      <c r="JF3" s="31" t="n"/>
      <c r="JH3" s="31" t="inlineStr">
        <is>
          <t>BURNSVILLE</t>
        </is>
      </c>
      <c r="JI3" s="31" t="n"/>
      <c r="JK3" s="31" t="inlineStr">
        <is>
          <t>BURNSVILLE</t>
        </is>
      </c>
      <c r="JL3" s="31" t="n"/>
      <c r="JN3" s="31" t="inlineStr">
        <is>
          <t>BURNSVILLE</t>
        </is>
      </c>
      <c r="JO3" s="31" t="n"/>
      <c r="JQ3" s="31" t="inlineStr">
        <is>
          <t>BURNSVILLE</t>
        </is>
      </c>
      <c r="JR3" s="31" t="n"/>
      <c r="JT3" s="31" t="inlineStr">
        <is>
          <t>BURNSVILLE</t>
        </is>
      </c>
      <c r="JU3" s="31" t="n"/>
      <c r="JW3" s="31" t="inlineStr">
        <is>
          <t>BURNSVILLE</t>
        </is>
      </c>
      <c r="JX3" s="31" t="n"/>
      <c r="JZ3" s="31" t="inlineStr">
        <is>
          <t>BURNSVILLE</t>
        </is>
      </c>
      <c r="KA3" s="31" t="n"/>
      <c r="KC3" s="31" t="inlineStr">
        <is>
          <t>BURNSVILLE</t>
        </is>
      </c>
      <c r="KD3" s="31" t="n"/>
      <c r="KF3" s="31" t="inlineStr">
        <is>
          <t>BURNSVILLE</t>
        </is>
      </c>
      <c r="KG3" s="31" t="n"/>
      <c r="KI3" s="31" t="inlineStr">
        <is>
          <t>BURNSVILLE</t>
        </is>
      </c>
      <c r="KJ3" s="31" t="n"/>
      <c r="KL3" s="31" t="inlineStr">
        <is>
          <t>BURNSVILLE</t>
        </is>
      </c>
      <c r="KM3" s="31" t="n"/>
      <c r="KO3" s="31" t="inlineStr">
        <is>
          <t>BURNSVILLE</t>
        </is>
      </c>
      <c r="KP3" s="31" t="n"/>
      <c r="KR3" s="31" t="inlineStr">
        <is>
          <t>BURNSVILLE</t>
        </is>
      </c>
      <c r="KS3" s="31" t="n"/>
      <c r="KU3" s="31" t="inlineStr">
        <is>
          <t>BURNSVILLE</t>
        </is>
      </c>
      <c r="KV3" s="31" t="n"/>
      <c r="KX3" s="31" t="inlineStr">
        <is>
          <t>BURNSVILLE</t>
        </is>
      </c>
      <c r="KY3" s="31" t="n"/>
      <c r="LA3" s="31" t="inlineStr">
        <is>
          <t>BURNSVILLE</t>
        </is>
      </c>
      <c r="LB3" s="31" t="n"/>
    </row>
    <row r="4">
      <c r="A4" s="32" t="n">
        <v>11</v>
      </c>
      <c r="B4" s="33" t="inlineStr">
        <is>
          <t>OPEN REPAIR TICKETS</t>
        </is>
      </c>
      <c r="D4" s="32" t="n">
        <v>7</v>
      </c>
      <c r="E4" s="33" t="inlineStr">
        <is>
          <t>OPEN REPAIR TICKETS</t>
        </is>
      </c>
      <c r="G4" s="32" t="n"/>
      <c r="H4" s="33" t="inlineStr">
        <is>
          <t>OPEN REPAIR TICKETS</t>
        </is>
      </c>
      <c r="J4" s="32" t="n"/>
      <c r="K4" s="33" t="inlineStr">
        <is>
          <t>OPEN REPAIR TICKETS</t>
        </is>
      </c>
      <c r="M4" s="32" t="n"/>
      <c r="N4" s="33" t="inlineStr">
        <is>
          <t>OPEN REPAIR TICKETS</t>
        </is>
      </c>
      <c r="P4" s="32" t="n"/>
      <c r="Q4" s="33" t="inlineStr">
        <is>
          <t>OPEN REPAIR TICKETS</t>
        </is>
      </c>
      <c r="S4" s="32" t="n"/>
      <c r="T4" s="33" t="inlineStr">
        <is>
          <t>OPEN REPAIR TICKETS</t>
        </is>
      </c>
      <c r="V4" s="32" t="n"/>
      <c r="W4" s="33" t="inlineStr">
        <is>
          <t>OPEN REPAIR TICKETS</t>
        </is>
      </c>
      <c r="Y4" s="32" t="n"/>
      <c r="Z4" s="33" t="inlineStr">
        <is>
          <t>OPEN REPAIR TICKETS</t>
        </is>
      </c>
      <c r="AB4" s="32" t="n"/>
      <c r="AC4" s="33" t="inlineStr">
        <is>
          <t>OPEN REPAIR TICKETS</t>
        </is>
      </c>
      <c r="AE4" s="32" t="n"/>
      <c r="AF4" s="33" t="inlineStr">
        <is>
          <t>OPEN REPAIR TICKETS</t>
        </is>
      </c>
      <c r="AH4" s="32" t="n"/>
      <c r="AI4" s="33" t="inlineStr">
        <is>
          <t>OPEN REPAIR TICKETS</t>
        </is>
      </c>
      <c r="AK4" s="32" t="n"/>
      <c r="AL4" s="33" t="inlineStr">
        <is>
          <t>OPEN REPAIR TICKETS</t>
        </is>
      </c>
      <c r="AN4" s="32" t="n"/>
      <c r="AO4" s="33" t="inlineStr">
        <is>
          <t>OPEN REPAIR TICKETS</t>
        </is>
      </c>
      <c r="AQ4" s="32" t="n"/>
      <c r="AR4" s="33" t="inlineStr">
        <is>
          <t>OPEN REPAIR TICKETS</t>
        </is>
      </c>
      <c r="AT4" s="32" t="n"/>
      <c r="AU4" s="33" t="inlineStr">
        <is>
          <t>OPEN REPAIR TICKETS</t>
        </is>
      </c>
      <c r="AW4" s="32" t="n"/>
      <c r="AX4" s="33" t="inlineStr">
        <is>
          <t>OPEN REPAIR TICKETS</t>
        </is>
      </c>
      <c r="AZ4" s="32" t="n"/>
      <c r="BA4" s="33" t="inlineStr">
        <is>
          <t>OPEN REPAIR TICKETS</t>
        </is>
      </c>
      <c r="BC4" s="32" t="n"/>
      <c r="BD4" s="33" t="inlineStr">
        <is>
          <t>OPEN REPAIR TICKETS</t>
        </is>
      </c>
      <c r="BF4" s="32" t="n"/>
      <c r="BG4" s="33" t="inlineStr">
        <is>
          <t>OPEN REPAIR TICKETS</t>
        </is>
      </c>
      <c r="BI4" s="32" t="n"/>
      <c r="BJ4" s="33" t="inlineStr">
        <is>
          <t>OPEN REPAIR TICKETS</t>
        </is>
      </c>
      <c r="BL4" s="32" t="n"/>
      <c r="BM4" s="33" t="inlineStr">
        <is>
          <t>OPEN REPAIR TICKETS</t>
        </is>
      </c>
      <c r="BO4" s="32" t="n"/>
      <c r="BP4" s="33" t="inlineStr">
        <is>
          <t>OPEN REPAIR TICKETS</t>
        </is>
      </c>
      <c r="BR4" s="32" t="n"/>
      <c r="BS4" s="33" t="inlineStr">
        <is>
          <t>OPEN REPAIR TICKETS</t>
        </is>
      </c>
      <c r="BU4" s="32" t="n"/>
      <c r="BV4" s="33" t="inlineStr">
        <is>
          <t>OPEN REPAIR TICKETS</t>
        </is>
      </c>
      <c r="BX4" s="32" t="n"/>
      <c r="BY4" s="33" t="inlineStr">
        <is>
          <t>OPEN REPAIR TICKETS</t>
        </is>
      </c>
      <c r="CA4" s="32" t="n"/>
      <c r="CB4" s="33" t="inlineStr">
        <is>
          <t>OPEN REPAIR TICKETS</t>
        </is>
      </c>
      <c r="CD4" s="32" t="n"/>
      <c r="CE4" s="33" t="inlineStr">
        <is>
          <t>OPEN REPAIR TICKETS</t>
        </is>
      </c>
      <c r="CG4" s="32" t="n"/>
      <c r="CH4" s="33" t="inlineStr">
        <is>
          <t>OPEN REPAIR TICKETS</t>
        </is>
      </c>
      <c r="CJ4" s="32" t="n"/>
      <c r="CK4" s="33" t="inlineStr">
        <is>
          <t>OPEN REPAIR TICKETS</t>
        </is>
      </c>
      <c r="CM4" s="32" t="n"/>
      <c r="CN4" s="33" t="inlineStr">
        <is>
          <t>OPEN REPAIR TICKETS</t>
        </is>
      </c>
      <c r="CP4" s="32" t="n"/>
      <c r="CQ4" s="33" t="inlineStr">
        <is>
          <t>OPEN REPAIR TICKETS</t>
        </is>
      </c>
      <c r="CS4" s="32" t="n"/>
      <c r="CT4" s="33" t="inlineStr">
        <is>
          <t>OPEN REPAIR TICKETS</t>
        </is>
      </c>
      <c r="CV4" s="32" t="n"/>
      <c r="CW4" s="33" t="inlineStr">
        <is>
          <t>OPEN REPAIR TICKETS</t>
        </is>
      </c>
      <c r="CY4" s="32" t="n"/>
      <c r="CZ4" s="33" t="inlineStr">
        <is>
          <t>OPEN REPAIR TICKETS</t>
        </is>
      </c>
      <c r="DB4" s="32" t="n"/>
      <c r="DC4" s="33" t="inlineStr">
        <is>
          <t>OPEN REPAIR TICKETS</t>
        </is>
      </c>
      <c r="DE4" s="32" t="n"/>
      <c r="DF4" s="33" t="inlineStr">
        <is>
          <t>OPEN REPAIR TICKETS</t>
        </is>
      </c>
      <c r="DH4" s="32" t="n"/>
      <c r="DI4" s="33" t="inlineStr">
        <is>
          <t>OPEN REPAIR TICKETS</t>
        </is>
      </c>
      <c r="DK4" s="32" t="n"/>
      <c r="DL4" s="33" t="inlineStr">
        <is>
          <t>OPEN REPAIR TICKETS</t>
        </is>
      </c>
      <c r="DN4" s="32" t="n"/>
      <c r="DO4" s="33" t="inlineStr">
        <is>
          <t>OPEN REPAIR TICKETS</t>
        </is>
      </c>
      <c r="DQ4" s="32" t="n"/>
      <c r="DR4" s="33" t="inlineStr">
        <is>
          <t>OPEN REPAIR TICKETS</t>
        </is>
      </c>
      <c r="DT4" s="32" t="n"/>
      <c r="DU4" s="33" t="inlineStr">
        <is>
          <t>OPEN REPAIR TICKETS</t>
        </is>
      </c>
      <c r="DW4" s="32" t="n"/>
      <c r="DX4" s="33" t="inlineStr">
        <is>
          <t>OPEN REPAIR TICKETS</t>
        </is>
      </c>
      <c r="DZ4" s="32" t="n"/>
      <c r="EA4" s="33" t="inlineStr">
        <is>
          <t>OPEN REPAIR TICKETS</t>
        </is>
      </c>
      <c r="EC4" s="32" t="n"/>
      <c r="ED4" s="33" t="inlineStr">
        <is>
          <t>OPEN REPAIR TICKETS</t>
        </is>
      </c>
      <c r="EF4" s="32" t="n"/>
      <c r="EG4" s="33" t="inlineStr">
        <is>
          <t>OPEN REPAIR TICKETS</t>
        </is>
      </c>
      <c r="EI4" s="32" t="n"/>
      <c r="EJ4" s="33" t="inlineStr">
        <is>
          <t>OPEN REPAIR TICKETS</t>
        </is>
      </c>
      <c r="EL4" s="32" t="n"/>
      <c r="EM4" s="33" t="inlineStr">
        <is>
          <t>OPEN REPAIR TICKETS</t>
        </is>
      </c>
      <c r="EO4" s="32" t="n"/>
      <c r="EP4" s="33" t="inlineStr">
        <is>
          <t>OPEN REPAIR TICKETS</t>
        </is>
      </c>
      <c r="ER4" s="32" t="n"/>
      <c r="ES4" s="33" t="inlineStr">
        <is>
          <t>OPEN REPAIR TICKETS</t>
        </is>
      </c>
      <c r="EU4" s="32" t="n"/>
      <c r="EV4" s="33" t="inlineStr">
        <is>
          <t>OPEN REPAIR TICKETS</t>
        </is>
      </c>
      <c r="EX4" s="32" t="n"/>
      <c r="EY4" s="33" t="inlineStr">
        <is>
          <t>OPEN REPAIR TICKETS</t>
        </is>
      </c>
      <c r="FA4" s="32" t="n"/>
      <c r="FB4" s="33" t="inlineStr">
        <is>
          <t>OPEN REPAIR TICKETS</t>
        </is>
      </c>
      <c r="FD4" s="32" t="n"/>
      <c r="FE4" s="33" t="inlineStr">
        <is>
          <t>OPEN REPAIR TICKETS</t>
        </is>
      </c>
      <c r="FG4" s="32" t="n"/>
      <c r="FH4" s="33" t="inlineStr">
        <is>
          <t>OPEN REPAIR TICKETS</t>
        </is>
      </c>
      <c r="FJ4" s="32" t="n"/>
      <c r="FK4" s="33" t="inlineStr">
        <is>
          <t>OPEN REPAIR TICKETS</t>
        </is>
      </c>
      <c r="FM4" s="32" t="n"/>
      <c r="FN4" s="33" t="inlineStr">
        <is>
          <t>OPEN REPAIR TICKETS</t>
        </is>
      </c>
      <c r="FP4" s="32" t="n"/>
      <c r="FQ4" s="33" t="inlineStr">
        <is>
          <t>OPEN REPAIR TICKETS</t>
        </is>
      </c>
      <c r="FS4" s="32" t="n"/>
      <c r="FT4" s="33" t="inlineStr">
        <is>
          <t>OPEN REPAIR TICKETS</t>
        </is>
      </c>
      <c r="FV4" s="32" t="n"/>
      <c r="FW4" s="33" t="inlineStr">
        <is>
          <t>OPEN REPAIR TICKETS</t>
        </is>
      </c>
      <c r="FY4" s="32" t="n"/>
      <c r="FZ4" s="33" t="inlineStr">
        <is>
          <t>OPEN REPAIR TICKETS</t>
        </is>
      </c>
      <c r="GB4" s="32" t="n"/>
      <c r="GC4" s="33" t="inlineStr">
        <is>
          <t>OPEN REPAIR TICKETS</t>
        </is>
      </c>
      <c r="GE4" s="32" t="n"/>
      <c r="GF4" s="33" t="inlineStr">
        <is>
          <t>OPEN REPAIR TICKETS</t>
        </is>
      </c>
      <c r="GH4" s="32" t="n"/>
      <c r="GI4" s="33" t="inlineStr">
        <is>
          <t>OPEN REPAIR TICKETS</t>
        </is>
      </c>
      <c r="GK4" s="32" t="n"/>
      <c r="GL4" s="33" t="inlineStr">
        <is>
          <t>OPEN REPAIR TICKETS</t>
        </is>
      </c>
      <c r="GN4" s="32" t="n"/>
      <c r="GO4" s="33" t="inlineStr">
        <is>
          <t>OPEN REPAIR TICKETS</t>
        </is>
      </c>
      <c r="GQ4" s="32" t="n"/>
      <c r="GR4" s="33" t="inlineStr">
        <is>
          <t>OPEN REPAIR TICKETS</t>
        </is>
      </c>
      <c r="GT4" s="32" t="n"/>
      <c r="GU4" s="33" t="inlineStr">
        <is>
          <t>OPEN REPAIR TICKETS</t>
        </is>
      </c>
      <c r="GW4" s="32" t="n"/>
      <c r="GX4" s="33" t="inlineStr">
        <is>
          <t>OPEN REPAIR TICKETS</t>
        </is>
      </c>
      <c r="GZ4" s="32" t="n"/>
      <c r="HA4" s="33" t="inlineStr">
        <is>
          <t>OPEN REPAIR TICKETS</t>
        </is>
      </c>
      <c r="HC4" s="32" t="n"/>
      <c r="HD4" s="33" t="inlineStr">
        <is>
          <t>OPEN REPAIR TICKETS</t>
        </is>
      </c>
      <c r="HF4" s="32" t="n"/>
      <c r="HG4" s="33" t="inlineStr">
        <is>
          <t>OPEN REPAIR TICKETS</t>
        </is>
      </c>
      <c r="HI4" s="32" t="n"/>
      <c r="HJ4" s="33" t="inlineStr">
        <is>
          <t>OPEN REPAIR TICKETS</t>
        </is>
      </c>
      <c r="HL4" s="32" t="n"/>
      <c r="HM4" s="33" t="inlineStr">
        <is>
          <t>OPEN REPAIR TICKETS</t>
        </is>
      </c>
      <c r="HO4" s="32" t="n"/>
      <c r="HP4" s="33" t="inlineStr">
        <is>
          <t>OPEN REPAIR TICKETS</t>
        </is>
      </c>
      <c r="HR4" s="32" t="n"/>
      <c r="HS4" s="33" t="inlineStr">
        <is>
          <t>OPEN REPAIR TICKETS</t>
        </is>
      </c>
      <c r="HU4" s="32" t="n"/>
      <c r="HV4" s="33" t="inlineStr">
        <is>
          <t>OPEN REPAIR TICKETS</t>
        </is>
      </c>
      <c r="HX4" s="32" t="n"/>
      <c r="HY4" s="33" t="inlineStr">
        <is>
          <t>OPEN REPAIR TICKETS</t>
        </is>
      </c>
      <c r="IA4" s="32" t="n"/>
      <c r="IB4" s="33" t="inlineStr">
        <is>
          <t>OPEN REPAIR TICKETS</t>
        </is>
      </c>
      <c r="ID4" s="32" t="n"/>
      <c r="IE4" s="33" t="inlineStr">
        <is>
          <t>OPEN REPAIR TICKETS</t>
        </is>
      </c>
      <c r="IG4" s="32" t="n"/>
      <c r="IH4" s="33" t="inlineStr">
        <is>
          <t>OPEN REPAIR TICKETS</t>
        </is>
      </c>
      <c r="IJ4" s="32" t="n"/>
      <c r="IK4" s="33" t="inlineStr">
        <is>
          <t>OPEN REPAIR TICKETS</t>
        </is>
      </c>
      <c r="IM4" s="32" t="n"/>
      <c r="IN4" s="33" t="inlineStr">
        <is>
          <t>OPEN REPAIR TICKETS</t>
        </is>
      </c>
      <c r="IP4" s="32" t="n"/>
      <c r="IQ4" s="33" t="inlineStr">
        <is>
          <t>OPEN REPAIR TICKETS</t>
        </is>
      </c>
      <c r="IS4" s="32" t="n"/>
      <c r="IT4" s="33" t="inlineStr">
        <is>
          <t>OPEN REPAIR TICKETS</t>
        </is>
      </c>
      <c r="IV4" s="32" t="n"/>
      <c r="IW4" s="33" t="inlineStr">
        <is>
          <t>OPEN REPAIR TICKETS</t>
        </is>
      </c>
      <c r="IY4" s="32" t="n"/>
      <c r="IZ4" s="33" t="inlineStr">
        <is>
          <t>OPEN REPAIR TICKETS</t>
        </is>
      </c>
      <c r="JB4" s="32" t="n"/>
      <c r="JC4" s="33" t="inlineStr">
        <is>
          <t>OPEN REPAIR TICKETS</t>
        </is>
      </c>
      <c r="JE4" s="32" t="n"/>
      <c r="JF4" s="33" t="inlineStr">
        <is>
          <t>OPEN REPAIR TICKETS</t>
        </is>
      </c>
      <c r="JH4" s="32" t="n"/>
      <c r="JI4" s="33" t="inlineStr">
        <is>
          <t>OPEN REPAIR TICKETS</t>
        </is>
      </c>
      <c r="JK4" s="32" t="n"/>
      <c r="JL4" s="33" t="inlineStr">
        <is>
          <t>OPEN REPAIR TICKETS</t>
        </is>
      </c>
      <c r="JN4" s="32" t="n"/>
      <c r="JO4" s="33" t="inlineStr">
        <is>
          <t>OPEN REPAIR TICKETS</t>
        </is>
      </c>
      <c r="JQ4" s="32" t="n"/>
      <c r="JR4" s="33" t="inlineStr">
        <is>
          <t>OPEN REPAIR TICKETS</t>
        </is>
      </c>
      <c r="JT4" s="32" t="n"/>
      <c r="JU4" s="33" t="inlineStr">
        <is>
          <t>OPEN REPAIR TICKETS</t>
        </is>
      </c>
      <c r="JW4" s="32" t="n"/>
      <c r="JX4" s="33" t="inlineStr">
        <is>
          <t>OPEN REPAIR TICKETS</t>
        </is>
      </c>
      <c r="JZ4" s="32" t="n"/>
      <c r="KA4" s="33" t="inlineStr">
        <is>
          <t>OPEN REPAIR TICKETS</t>
        </is>
      </c>
      <c r="KC4" s="32" t="n"/>
      <c r="KD4" s="33" t="inlineStr">
        <is>
          <t>OPEN REPAIR TICKETS</t>
        </is>
      </c>
      <c r="KF4" s="32" t="n"/>
      <c r="KG4" s="33" t="inlineStr">
        <is>
          <t>OPEN REPAIR TICKETS</t>
        </is>
      </c>
      <c r="KI4" s="32" t="n"/>
      <c r="KJ4" s="33" t="inlineStr">
        <is>
          <t>OPEN REPAIR TICKETS</t>
        </is>
      </c>
      <c r="KL4" s="32" t="n"/>
      <c r="KM4" s="33" t="inlineStr">
        <is>
          <t>OPEN REPAIR TICKETS</t>
        </is>
      </c>
      <c r="KO4" s="32" t="n"/>
      <c r="KP4" s="33" t="inlineStr">
        <is>
          <t>OPEN REPAIR TICKETS</t>
        </is>
      </c>
      <c r="KR4" s="32" t="n"/>
      <c r="KS4" s="33" t="inlineStr">
        <is>
          <t>OPEN REPAIR TICKETS</t>
        </is>
      </c>
      <c r="KU4" s="32" t="n"/>
      <c r="KV4" s="33" t="inlineStr">
        <is>
          <t>OPEN REPAIR TICKETS</t>
        </is>
      </c>
      <c r="KX4" s="32" t="n"/>
      <c r="KY4" s="33" t="inlineStr">
        <is>
          <t>OPEN REPAIR TICKETS</t>
        </is>
      </c>
      <c r="LA4" s="32" t="n"/>
      <c r="LB4" s="33" t="inlineStr">
        <is>
          <t>OPEN REPAIR TICKETS</t>
        </is>
      </c>
    </row>
    <row r="5">
      <c r="A5" s="32" t="n">
        <v>3</v>
      </c>
      <c r="B5" s="33" t="inlineStr">
        <is>
          <t>OPEN PMS</t>
        </is>
      </c>
      <c r="D5" s="32" t="n">
        <v>6</v>
      </c>
      <c r="E5" s="33" t="inlineStr">
        <is>
          <t>OPEN PMS</t>
        </is>
      </c>
      <c r="G5" s="32" t="n"/>
      <c r="H5" s="33" t="inlineStr">
        <is>
          <t>OPEN PMS</t>
        </is>
      </c>
      <c r="J5" s="32" t="n"/>
      <c r="K5" s="33" t="inlineStr">
        <is>
          <t>OPEN PMS</t>
        </is>
      </c>
      <c r="M5" s="32" t="n"/>
      <c r="N5" s="33" t="inlineStr">
        <is>
          <t>OPEN PMS</t>
        </is>
      </c>
      <c r="P5" s="32" t="n"/>
      <c r="Q5" s="33" t="inlineStr">
        <is>
          <t>OPEN PMS</t>
        </is>
      </c>
      <c r="S5" s="32" t="n"/>
      <c r="T5" s="33" t="inlineStr">
        <is>
          <t>OPEN PMS</t>
        </is>
      </c>
      <c r="V5" s="32" t="n"/>
      <c r="W5" s="33" t="inlineStr">
        <is>
          <t>OPEN PMS</t>
        </is>
      </c>
      <c r="Y5" s="32" t="n"/>
      <c r="Z5" s="33" t="inlineStr">
        <is>
          <t>OPEN PMS</t>
        </is>
      </c>
      <c r="AB5" s="32" t="n"/>
      <c r="AC5" s="33" t="inlineStr">
        <is>
          <t>OPEN PMS</t>
        </is>
      </c>
      <c r="AE5" s="32" t="n"/>
      <c r="AF5" s="33" t="inlineStr">
        <is>
          <t>OPEN PMS</t>
        </is>
      </c>
      <c r="AH5" s="32" t="n"/>
      <c r="AI5" s="33" t="inlineStr">
        <is>
          <t>OPEN PMS</t>
        </is>
      </c>
      <c r="AK5" s="32" t="n"/>
      <c r="AL5" s="33" t="inlineStr">
        <is>
          <t>OPEN PMS</t>
        </is>
      </c>
      <c r="AN5" s="32" t="n"/>
      <c r="AO5" s="33" t="inlineStr">
        <is>
          <t>OPEN PMS</t>
        </is>
      </c>
      <c r="AQ5" s="32" t="n"/>
      <c r="AR5" s="33" t="inlineStr">
        <is>
          <t>OPEN PMS</t>
        </is>
      </c>
      <c r="AT5" s="32" t="n"/>
      <c r="AU5" s="33" t="inlineStr">
        <is>
          <t>OPEN PMS</t>
        </is>
      </c>
      <c r="AW5" s="32" t="n"/>
      <c r="AX5" s="33" t="inlineStr">
        <is>
          <t>OPEN PMS</t>
        </is>
      </c>
      <c r="AZ5" s="32" t="n"/>
      <c r="BA5" s="33" t="inlineStr">
        <is>
          <t>OPEN PMS</t>
        </is>
      </c>
      <c r="BC5" s="32" t="n"/>
      <c r="BD5" s="33" t="inlineStr">
        <is>
          <t>OPEN PMS</t>
        </is>
      </c>
      <c r="BF5" s="32" t="n"/>
      <c r="BG5" s="33" t="inlineStr">
        <is>
          <t>OPEN PMS</t>
        </is>
      </c>
      <c r="BI5" s="32" t="n"/>
      <c r="BJ5" s="33" t="inlineStr">
        <is>
          <t>OPEN PMS</t>
        </is>
      </c>
      <c r="BL5" s="32" t="n"/>
      <c r="BM5" s="33" t="inlineStr">
        <is>
          <t>OPEN PMS</t>
        </is>
      </c>
      <c r="BO5" s="32" t="n"/>
      <c r="BP5" s="33" t="inlineStr">
        <is>
          <t>OPEN PMS</t>
        </is>
      </c>
      <c r="BR5" s="32" t="n"/>
      <c r="BS5" s="33" t="inlineStr">
        <is>
          <t>OPEN PMS</t>
        </is>
      </c>
      <c r="BU5" s="32" t="n"/>
      <c r="BV5" s="33" t="inlineStr">
        <is>
          <t>OPEN PMS</t>
        </is>
      </c>
      <c r="BX5" s="32" t="n"/>
      <c r="BY5" s="33" t="inlineStr">
        <is>
          <t>OPEN PMS</t>
        </is>
      </c>
      <c r="CA5" s="32" t="n"/>
      <c r="CB5" s="33" t="inlineStr">
        <is>
          <t>OPEN PMS</t>
        </is>
      </c>
      <c r="CD5" s="32" t="n"/>
      <c r="CE5" s="33" t="inlineStr">
        <is>
          <t>OPEN PMS</t>
        </is>
      </c>
      <c r="CG5" s="32" t="n"/>
      <c r="CH5" s="33" t="inlineStr">
        <is>
          <t>OPEN PMS</t>
        </is>
      </c>
      <c r="CJ5" s="32" t="n"/>
      <c r="CK5" s="33" t="inlineStr">
        <is>
          <t>OPEN PMS</t>
        </is>
      </c>
      <c r="CM5" s="32" t="n"/>
      <c r="CN5" s="33" t="inlineStr">
        <is>
          <t>OPEN PMS</t>
        </is>
      </c>
      <c r="CP5" s="32" t="n"/>
      <c r="CQ5" s="33" t="inlineStr">
        <is>
          <t>OPEN PMS</t>
        </is>
      </c>
      <c r="CS5" s="32" t="n"/>
      <c r="CT5" s="33" t="inlineStr">
        <is>
          <t>OPEN PMS</t>
        </is>
      </c>
      <c r="CV5" s="32" t="n"/>
      <c r="CW5" s="33" t="inlineStr">
        <is>
          <t>OPEN PMS</t>
        </is>
      </c>
      <c r="CY5" s="32" t="n"/>
      <c r="CZ5" s="33" t="inlineStr">
        <is>
          <t>OPEN PMS</t>
        </is>
      </c>
      <c r="DB5" s="32" t="n"/>
      <c r="DC5" s="33" t="inlineStr">
        <is>
          <t>OPEN PMS</t>
        </is>
      </c>
      <c r="DE5" s="32" t="n"/>
      <c r="DF5" s="33" t="inlineStr">
        <is>
          <t>OPEN PMS</t>
        </is>
      </c>
      <c r="DH5" s="32" t="n"/>
      <c r="DI5" s="33" t="inlineStr">
        <is>
          <t>OPEN PMS</t>
        </is>
      </c>
      <c r="DK5" s="32" t="n"/>
      <c r="DL5" s="33" t="inlineStr">
        <is>
          <t>OPEN PMS</t>
        </is>
      </c>
      <c r="DN5" s="32" t="n"/>
      <c r="DO5" s="33" t="inlineStr">
        <is>
          <t>OPEN PMS</t>
        </is>
      </c>
      <c r="DQ5" s="32" t="n"/>
      <c r="DR5" s="33" t="inlineStr">
        <is>
          <t>OPEN PMS</t>
        </is>
      </c>
      <c r="DT5" s="32" t="n"/>
      <c r="DU5" s="33" t="inlineStr">
        <is>
          <t>OPEN PMS</t>
        </is>
      </c>
      <c r="DW5" s="32" t="n"/>
      <c r="DX5" s="33" t="inlineStr">
        <is>
          <t>OPEN PMS</t>
        </is>
      </c>
      <c r="DZ5" s="32" t="n"/>
      <c r="EA5" s="33" t="inlineStr">
        <is>
          <t>OPEN PMS</t>
        </is>
      </c>
      <c r="EC5" s="32" t="n"/>
      <c r="ED5" s="33" t="inlineStr">
        <is>
          <t>OPEN PMS</t>
        </is>
      </c>
      <c r="EF5" s="32" t="n"/>
      <c r="EG5" s="33" t="inlineStr">
        <is>
          <t>OPEN PMS</t>
        </is>
      </c>
      <c r="EI5" s="32" t="n"/>
      <c r="EJ5" s="33" t="inlineStr">
        <is>
          <t>OPEN PMS</t>
        </is>
      </c>
      <c r="EL5" s="32" t="n"/>
      <c r="EM5" s="33" t="inlineStr">
        <is>
          <t>OPEN PMS</t>
        </is>
      </c>
      <c r="EO5" s="32" t="n"/>
      <c r="EP5" s="33" t="inlineStr">
        <is>
          <t>OPEN PMS</t>
        </is>
      </c>
      <c r="ER5" s="32" t="n"/>
      <c r="ES5" s="33" t="inlineStr">
        <is>
          <t>OPEN PMS</t>
        </is>
      </c>
      <c r="EU5" s="32" t="n"/>
      <c r="EV5" s="33" t="inlineStr">
        <is>
          <t>OPEN PMS</t>
        </is>
      </c>
      <c r="EX5" s="32" t="n"/>
      <c r="EY5" s="33" t="inlineStr">
        <is>
          <t>OPEN PMS</t>
        </is>
      </c>
      <c r="FA5" s="32" t="n"/>
      <c r="FB5" s="33" t="inlineStr">
        <is>
          <t>OPEN PMS</t>
        </is>
      </c>
      <c r="FD5" s="32" t="n"/>
      <c r="FE5" s="33" t="inlineStr">
        <is>
          <t>OPEN PMS</t>
        </is>
      </c>
      <c r="FG5" s="32" t="n"/>
      <c r="FH5" s="33" t="inlineStr">
        <is>
          <t>OPEN PMS</t>
        </is>
      </c>
      <c r="FJ5" s="32" t="n"/>
      <c r="FK5" s="33" t="inlineStr">
        <is>
          <t>OPEN PMS</t>
        </is>
      </c>
      <c r="FM5" s="32" t="n"/>
      <c r="FN5" s="33" t="inlineStr">
        <is>
          <t>OPEN PMS</t>
        </is>
      </c>
      <c r="FP5" s="32" t="n"/>
      <c r="FQ5" s="33" t="inlineStr">
        <is>
          <t>OPEN PMS</t>
        </is>
      </c>
      <c r="FS5" s="32" t="n"/>
      <c r="FT5" s="33" t="inlineStr">
        <is>
          <t>OPEN PMS</t>
        </is>
      </c>
      <c r="FV5" s="32" t="n"/>
      <c r="FW5" s="33" t="inlineStr">
        <is>
          <t>OPEN PMS</t>
        </is>
      </c>
      <c r="FY5" s="32" t="n"/>
      <c r="FZ5" s="33" t="inlineStr">
        <is>
          <t>OPEN PMS</t>
        </is>
      </c>
      <c r="GB5" s="32" t="n"/>
      <c r="GC5" s="33" t="inlineStr">
        <is>
          <t>OPEN PMS</t>
        </is>
      </c>
      <c r="GE5" s="32" t="n"/>
      <c r="GF5" s="33" t="inlineStr">
        <is>
          <t>OPEN PMS</t>
        </is>
      </c>
      <c r="GH5" s="32" t="n"/>
      <c r="GI5" s="33" t="inlineStr">
        <is>
          <t>OPEN PMS</t>
        </is>
      </c>
      <c r="GK5" s="32" t="n"/>
      <c r="GL5" s="33" t="inlineStr">
        <is>
          <t>OPEN PMS</t>
        </is>
      </c>
      <c r="GN5" s="32" t="n"/>
      <c r="GO5" s="33" t="inlineStr">
        <is>
          <t>OPEN PMS</t>
        </is>
      </c>
      <c r="GQ5" s="32" t="n"/>
      <c r="GR5" s="33" t="inlineStr">
        <is>
          <t>OPEN PMS</t>
        </is>
      </c>
      <c r="GT5" s="32" t="n"/>
      <c r="GU5" s="33" t="inlineStr">
        <is>
          <t>OPEN PMS</t>
        </is>
      </c>
      <c r="GW5" s="32" t="n"/>
      <c r="GX5" s="33" t="inlineStr">
        <is>
          <t>OPEN PMS</t>
        </is>
      </c>
      <c r="GZ5" s="32" t="n"/>
      <c r="HA5" s="33" t="inlineStr">
        <is>
          <t>OPEN PMS</t>
        </is>
      </c>
      <c r="HC5" s="32" t="n"/>
      <c r="HD5" s="33" t="inlineStr">
        <is>
          <t>OPEN PMS</t>
        </is>
      </c>
      <c r="HF5" s="32" t="n"/>
      <c r="HG5" s="33" t="inlineStr">
        <is>
          <t>OPEN PMS</t>
        </is>
      </c>
      <c r="HI5" s="32" t="n"/>
      <c r="HJ5" s="33" t="inlineStr">
        <is>
          <t>OPEN PMS</t>
        </is>
      </c>
      <c r="HL5" s="32" t="n"/>
      <c r="HM5" s="33" t="inlineStr">
        <is>
          <t>OPEN PMS</t>
        </is>
      </c>
      <c r="HO5" s="32" t="n"/>
      <c r="HP5" s="33" t="inlineStr">
        <is>
          <t>OPEN PMS</t>
        </is>
      </c>
      <c r="HR5" s="32" t="n"/>
      <c r="HS5" s="33" t="inlineStr">
        <is>
          <t>OPEN PMS</t>
        </is>
      </c>
      <c r="HU5" s="32" t="n"/>
      <c r="HV5" s="33" t="inlineStr">
        <is>
          <t>OPEN PMS</t>
        </is>
      </c>
      <c r="HX5" s="32" t="n"/>
      <c r="HY5" s="33" t="inlineStr">
        <is>
          <t>OPEN PMS</t>
        </is>
      </c>
      <c r="IA5" s="32" t="n"/>
      <c r="IB5" s="33" t="inlineStr">
        <is>
          <t>OPEN PMS</t>
        </is>
      </c>
      <c r="ID5" s="32" t="n"/>
      <c r="IE5" s="33" t="inlineStr">
        <is>
          <t>OPEN PMS</t>
        </is>
      </c>
      <c r="IG5" s="32" t="n"/>
      <c r="IH5" s="33" t="inlineStr">
        <is>
          <t>OPEN PMS</t>
        </is>
      </c>
      <c r="IJ5" s="32" t="n"/>
      <c r="IK5" s="33" t="inlineStr">
        <is>
          <t>OPEN PMS</t>
        </is>
      </c>
      <c r="IM5" s="32" t="n"/>
      <c r="IN5" s="33" t="inlineStr">
        <is>
          <t>OPEN PMS</t>
        </is>
      </c>
      <c r="IP5" s="32" t="n"/>
      <c r="IQ5" s="33" t="inlineStr">
        <is>
          <t>OPEN PMS</t>
        </is>
      </c>
      <c r="IS5" s="32" t="n"/>
      <c r="IT5" s="33" t="inlineStr">
        <is>
          <t>OPEN PMS</t>
        </is>
      </c>
      <c r="IV5" s="32" t="n"/>
      <c r="IW5" s="33" t="inlineStr">
        <is>
          <t>OPEN PMS</t>
        </is>
      </c>
      <c r="IY5" s="32" t="n"/>
      <c r="IZ5" s="33" t="inlineStr">
        <is>
          <t>OPEN PMS</t>
        </is>
      </c>
      <c r="JB5" s="32" t="n"/>
      <c r="JC5" s="33" t="inlineStr">
        <is>
          <t>OPEN PMS</t>
        </is>
      </c>
      <c r="JE5" s="32" t="n"/>
      <c r="JF5" s="33" t="inlineStr">
        <is>
          <t>OPEN PMS</t>
        </is>
      </c>
      <c r="JH5" s="32" t="n"/>
      <c r="JI5" s="33" t="inlineStr">
        <is>
          <t>OPEN PMS</t>
        </is>
      </c>
      <c r="JK5" s="32" t="n"/>
      <c r="JL5" s="33" t="inlineStr">
        <is>
          <t>OPEN PMS</t>
        </is>
      </c>
      <c r="JN5" s="32" t="n"/>
      <c r="JO5" s="33" t="inlineStr">
        <is>
          <t>OPEN PMS</t>
        </is>
      </c>
      <c r="JQ5" s="32" t="n"/>
      <c r="JR5" s="33" t="inlineStr">
        <is>
          <t>OPEN PMS</t>
        </is>
      </c>
      <c r="JT5" s="32" t="n"/>
      <c r="JU5" s="33" t="inlineStr">
        <is>
          <t>OPEN PMS</t>
        </is>
      </c>
      <c r="JW5" s="32" t="n"/>
      <c r="JX5" s="33" t="inlineStr">
        <is>
          <t>OPEN PMS</t>
        </is>
      </c>
      <c r="JZ5" s="32" t="n"/>
      <c r="KA5" s="33" t="inlineStr">
        <is>
          <t>OPEN PMS</t>
        </is>
      </c>
      <c r="KC5" s="32" t="n"/>
      <c r="KD5" s="33" t="inlineStr">
        <is>
          <t>OPEN PMS</t>
        </is>
      </c>
      <c r="KF5" s="32" t="n"/>
      <c r="KG5" s="33" t="inlineStr">
        <is>
          <t>OPEN PMS</t>
        </is>
      </c>
      <c r="KI5" s="32" t="n"/>
      <c r="KJ5" s="33" t="inlineStr">
        <is>
          <t>OPEN PMS</t>
        </is>
      </c>
      <c r="KL5" s="32" t="n"/>
      <c r="KM5" s="33" t="inlineStr">
        <is>
          <t>OPEN PMS</t>
        </is>
      </c>
      <c r="KO5" s="32" t="n"/>
      <c r="KP5" s="33" t="inlineStr">
        <is>
          <t>OPEN PMS</t>
        </is>
      </c>
      <c r="KR5" s="32" t="n"/>
      <c r="KS5" s="33" t="inlineStr">
        <is>
          <t>OPEN PMS</t>
        </is>
      </c>
      <c r="KU5" s="32" t="n"/>
      <c r="KV5" s="33" t="inlineStr">
        <is>
          <t>OPEN PMS</t>
        </is>
      </c>
      <c r="KX5" s="32" t="n"/>
      <c r="KY5" s="33" t="inlineStr">
        <is>
          <t>OPEN PMS</t>
        </is>
      </c>
      <c r="LA5" s="32" t="n"/>
      <c r="LB5" s="33" t="inlineStr">
        <is>
          <t>OPEN PMS</t>
        </is>
      </c>
    </row>
    <row r="6">
      <c r="A6" s="34">
        <f>SUM(A4+A5)</f>
        <v/>
      </c>
      <c r="B6" s="35" t="inlineStr">
        <is>
          <t>TOTAL</t>
        </is>
      </c>
      <c r="D6" s="34">
        <f>SUM(D4+D5)</f>
        <v/>
      </c>
      <c r="E6" s="35" t="inlineStr">
        <is>
          <t>TOTAL</t>
        </is>
      </c>
      <c r="G6" s="34">
        <f>SUM(G4+G5)</f>
        <v/>
      </c>
      <c r="H6" s="35" t="inlineStr">
        <is>
          <t>TOTAL</t>
        </is>
      </c>
      <c r="J6" s="34">
        <f>SUM(J4+J5)</f>
        <v/>
      </c>
      <c r="K6" s="35" t="inlineStr">
        <is>
          <t>TOTAL</t>
        </is>
      </c>
      <c r="M6" s="34">
        <f>SUM(M4+M5)</f>
        <v/>
      </c>
      <c r="N6" s="35" t="inlineStr">
        <is>
          <t>TOTAL</t>
        </is>
      </c>
      <c r="P6" s="34">
        <f>SUM(P4+P5)</f>
        <v/>
      </c>
      <c r="Q6" s="35" t="inlineStr">
        <is>
          <t>TOTAL</t>
        </is>
      </c>
      <c r="S6" s="34">
        <f>SUM(S4+S5)</f>
        <v/>
      </c>
      <c r="T6" s="35" t="inlineStr">
        <is>
          <t>TOTAL</t>
        </is>
      </c>
      <c r="V6" s="34">
        <f>SUM(V4+V5)</f>
        <v/>
      </c>
      <c r="W6" s="35" t="inlineStr">
        <is>
          <t>TOTAL</t>
        </is>
      </c>
      <c r="Y6" s="34">
        <f>SUM(Y4+Y5)</f>
        <v/>
      </c>
      <c r="Z6" s="35" t="inlineStr">
        <is>
          <t>TOTAL</t>
        </is>
      </c>
      <c r="AB6" s="34">
        <f>SUM(AB4+AB5)</f>
        <v/>
      </c>
      <c r="AC6" s="35" t="inlineStr">
        <is>
          <t>TOTAL</t>
        </is>
      </c>
      <c r="AE6" s="34">
        <f>SUM(AE4+AE5)</f>
        <v/>
      </c>
      <c r="AF6" s="35" t="inlineStr">
        <is>
          <t>TOTAL</t>
        </is>
      </c>
      <c r="AH6" s="34">
        <f>SUM(AH4+AH5)</f>
        <v/>
      </c>
      <c r="AI6" s="35" t="inlineStr">
        <is>
          <t>TOTAL</t>
        </is>
      </c>
      <c r="AK6" s="34">
        <f>SUM(AK4+AK5)</f>
        <v/>
      </c>
      <c r="AL6" s="35" t="inlineStr">
        <is>
          <t>TOTAL</t>
        </is>
      </c>
      <c r="AN6" s="34">
        <f>SUM(AN4+AN5)</f>
        <v/>
      </c>
      <c r="AO6" s="35" t="inlineStr">
        <is>
          <t>TOTAL</t>
        </is>
      </c>
      <c r="AQ6" s="34">
        <f>SUM(AQ4+AQ5)</f>
        <v/>
      </c>
      <c r="AR6" s="35" t="inlineStr">
        <is>
          <t>TOTAL</t>
        </is>
      </c>
      <c r="AT6" s="34">
        <f>SUM(AT4+AT5)</f>
        <v/>
      </c>
      <c r="AU6" s="35" t="inlineStr">
        <is>
          <t>TOTAL</t>
        </is>
      </c>
      <c r="AW6" s="34">
        <f>SUM(AW4+AW5)</f>
        <v/>
      </c>
      <c r="AX6" s="35" t="inlineStr">
        <is>
          <t>TOTAL</t>
        </is>
      </c>
      <c r="AZ6" s="34">
        <f>SUM(AZ4+AZ5)</f>
        <v/>
      </c>
      <c r="BA6" s="35" t="inlineStr">
        <is>
          <t>TOTAL</t>
        </is>
      </c>
      <c r="BC6" s="34">
        <f>SUM(BC4+BC5)</f>
        <v/>
      </c>
      <c r="BD6" s="35" t="inlineStr">
        <is>
          <t>TOTAL</t>
        </is>
      </c>
      <c r="BF6" s="34">
        <f>SUM(BF4+BF5)</f>
        <v/>
      </c>
      <c r="BG6" s="35" t="inlineStr">
        <is>
          <t>TOTAL</t>
        </is>
      </c>
      <c r="BI6" s="34">
        <f>SUM(BI4+BI5)</f>
        <v/>
      </c>
      <c r="BJ6" s="35" t="inlineStr">
        <is>
          <t>TOTAL</t>
        </is>
      </c>
      <c r="BL6" s="34">
        <f>SUM(BL4+BL5)</f>
        <v/>
      </c>
      <c r="BM6" s="35" t="inlineStr">
        <is>
          <t>TOTAL</t>
        </is>
      </c>
      <c r="BO6" s="34">
        <f>SUM(BO4+BO5)</f>
        <v/>
      </c>
      <c r="BP6" s="35" t="inlineStr">
        <is>
          <t>TOTAL</t>
        </is>
      </c>
      <c r="BR6" s="34">
        <f>SUM(BR4+BR5)</f>
        <v/>
      </c>
      <c r="BS6" s="35" t="inlineStr">
        <is>
          <t>TOTAL</t>
        </is>
      </c>
      <c r="BU6" s="34">
        <f>SUM(BU4+BU5)</f>
        <v/>
      </c>
      <c r="BV6" s="35" t="inlineStr">
        <is>
          <t>TOTAL</t>
        </is>
      </c>
      <c r="BX6" s="34">
        <f>SUM(BX4+BX5)</f>
        <v/>
      </c>
      <c r="BY6" s="35" t="inlineStr">
        <is>
          <t>TOTAL</t>
        </is>
      </c>
      <c r="CA6" s="34">
        <f>SUM(CA4+CA5)</f>
        <v/>
      </c>
      <c r="CB6" s="35" t="inlineStr">
        <is>
          <t>TOTAL</t>
        </is>
      </c>
      <c r="CD6" s="34">
        <f>SUM(CD4+CD5)</f>
        <v/>
      </c>
      <c r="CE6" s="35" t="inlineStr">
        <is>
          <t>TOTAL</t>
        </is>
      </c>
      <c r="CG6" s="34">
        <f>SUM(CG4+CG5)</f>
        <v/>
      </c>
      <c r="CH6" s="35" t="inlineStr">
        <is>
          <t>TOTAL</t>
        </is>
      </c>
      <c r="CJ6" s="34">
        <f>SUM(CJ4+CJ5)</f>
        <v/>
      </c>
      <c r="CK6" s="35" t="inlineStr">
        <is>
          <t>TOTAL</t>
        </is>
      </c>
      <c r="CM6" s="34">
        <f>SUM(CM4+CM5)</f>
        <v/>
      </c>
      <c r="CN6" s="35" t="inlineStr">
        <is>
          <t>TOTAL</t>
        </is>
      </c>
      <c r="CP6" s="34">
        <f>SUM(CP4+CP5)</f>
        <v/>
      </c>
      <c r="CQ6" s="35" t="inlineStr">
        <is>
          <t>TOTAL</t>
        </is>
      </c>
      <c r="CS6" s="34">
        <f>SUM(CS4+CS5)</f>
        <v/>
      </c>
      <c r="CT6" s="35" t="inlineStr">
        <is>
          <t>TOTAL</t>
        </is>
      </c>
      <c r="CV6" s="34">
        <f>SUM(CV4+CV5)</f>
        <v/>
      </c>
      <c r="CW6" s="35" t="inlineStr">
        <is>
          <t>TOTAL</t>
        </is>
      </c>
      <c r="CY6" s="34">
        <f>SUM(CY4+CY5)</f>
        <v/>
      </c>
      <c r="CZ6" s="35" t="inlineStr">
        <is>
          <t>TOTAL</t>
        </is>
      </c>
      <c r="DB6" s="34">
        <f>SUM(DB4+DB5)</f>
        <v/>
      </c>
      <c r="DC6" s="35" t="inlineStr">
        <is>
          <t>TOTAL</t>
        </is>
      </c>
      <c r="DE6" s="34">
        <f>SUM(DE4+DE5)</f>
        <v/>
      </c>
      <c r="DF6" s="35" t="inlineStr">
        <is>
          <t>TOTAL</t>
        </is>
      </c>
      <c r="DH6" s="34">
        <f>SUM(DH4+DH5)</f>
        <v/>
      </c>
      <c r="DI6" s="35" t="inlineStr">
        <is>
          <t>TOTAL</t>
        </is>
      </c>
      <c r="DK6" s="34">
        <f>SUM(DK4+DK5)</f>
        <v/>
      </c>
      <c r="DL6" s="35" t="inlineStr">
        <is>
          <t>TOTAL</t>
        </is>
      </c>
      <c r="DN6" s="34">
        <f>SUM(DN4+DN5)</f>
        <v/>
      </c>
      <c r="DO6" s="35" t="inlineStr">
        <is>
          <t>TOTAL</t>
        </is>
      </c>
      <c r="DQ6" s="34">
        <f>SUM(DQ4+DQ5)</f>
        <v/>
      </c>
      <c r="DR6" s="35" t="inlineStr">
        <is>
          <t>TOTAL</t>
        </is>
      </c>
      <c r="DT6" s="34">
        <f>SUM(DT4+DT5)</f>
        <v/>
      </c>
      <c r="DU6" s="35" t="inlineStr">
        <is>
          <t>TOTAL</t>
        </is>
      </c>
      <c r="DW6" s="34">
        <f>SUM(DW4+DW5)</f>
        <v/>
      </c>
      <c r="DX6" s="35" t="inlineStr">
        <is>
          <t>TOTAL</t>
        </is>
      </c>
      <c r="DZ6" s="34">
        <f>SUM(DZ4+DZ5)</f>
        <v/>
      </c>
      <c r="EA6" s="35" t="inlineStr">
        <is>
          <t>TOTAL</t>
        </is>
      </c>
      <c r="EC6" s="34">
        <f>SUM(EC4+EC5)</f>
        <v/>
      </c>
      <c r="ED6" s="35" t="inlineStr">
        <is>
          <t>TOTAL</t>
        </is>
      </c>
      <c r="EF6" s="34">
        <f>SUM(EF4+EF5)</f>
        <v/>
      </c>
      <c r="EG6" s="35" t="inlineStr">
        <is>
          <t>TOTAL</t>
        </is>
      </c>
      <c r="EI6" s="34">
        <f>SUM(EI4+EI5)</f>
        <v/>
      </c>
      <c r="EJ6" s="35" t="inlineStr">
        <is>
          <t>TOTAL</t>
        </is>
      </c>
      <c r="EL6" s="34">
        <f>SUM(EL4+EL5)</f>
        <v/>
      </c>
      <c r="EM6" s="35" t="inlineStr">
        <is>
          <t>TOTAL</t>
        </is>
      </c>
      <c r="EO6" s="34">
        <f>SUM(EO4+EO5)</f>
        <v/>
      </c>
      <c r="EP6" s="35" t="inlineStr">
        <is>
          <t>TOTAL</t>
        </is>
      </c>
      <c r="ER6" s="34">
        <f>SUM(ER4+ER5)</f>
        <v/>
      </c>
      <c r="ES6" s="35" t="inlineStr">
        <is>
          <t>TOTAL</t>
        </is>
      </c>
      <c r="EU6" s="34">
        <f>SUM(EU4+EU5)</f>
        <v/>
      </c>
      <c r="EV6" s="35" t="inlineStr">
        <is>
          <t>TOTAL</t>
        </is>
      </c>
      <c r="EX6" s="34">
        <f>SUM(EX4+EX5)</f>
        <v/>
      </c>
      <c r="EY6" s="35" t="inlineStr">
        <is>
          <t>TOTAL</t>
        </is>
      </c>
      <c r="FA6" s="34">
        <f>SUM(FA4+FA5)</f>
        <v/>
      </c>
      <c r="FB6" s="35" t="inlineStr">
        <is>
          <t>TOTAL</t>
        </is>
      </c>
      <c r="FD6" s="34">
        <f>SUM(FD4+FD5)</f>
        <v/>
      </c>
      <c r="FE6" s="35" t="inlineStr">
        <is>
          <t>TOTAL</t>
        </is>
      </c>
      <c r="FG6" s="34">
        <f>SUM(FG4+FG5)</f>
        <v/>
      </c>
      <c r="FH6" s="35" t="inlineStr">
        <is>
          <t>TOTAL</t>
        </is>
      </c>
      <c r="FJ6" s="34">
        <f>SUM(FJ4+FJ5)</f>
        <v/>
      </c>
      <c r="FK6" s="35" t="inlineStr">
        <is>
          <t>TOTAL</t>
        </is>
      </c>
      <c r="FM6" s="34">
        <f>SUM(FM4+FM5)</f>
        <v/>
      </c>
      <c r="FN6" s="35" t="inlineStr">
        <is>
          <t>TOTAL</t>
        </is>
      </c>
      <c r="FP6" s="34">
        <f>SUM(FP4+FP5)</f>
        <v/>
      </c>
      <c r="FQ6" s="35" t="inlineStr">
        <is>
          <t>TOTAL</t>
        </is>
      </c>
      <c r="FS6" s="34">
        <f>SUM(FS4+FS5)</f>
        <v/>
      </c>
      <c r="FT6" s="35" t="inlineStr">
        <is>
          <t>TOTAL</t>
        </is>
      </c>
      <c r="FV6" s="34">
        <f>SUM(FV4+FV5)</f>
        <v/>
      </c>
      <c r="FW6" s="35" t="inlineStr">
        <is>
          <t>TOTAL</t>
        </is>
      </c>
      <c r="FY6" s="34">
        <f>SUM(FY4+FY5)</f>
        <v/>
      </c>
      <c r="FZ6" s="35" t="inlineStr">
        <is>
          <t>TOTAL</t>
        </is>
      </c>
      <c r="GB6" s="34">
        <f>SUM(GB4+GB5)</f>
        <v/>
      </c>
      <c r="GC6" s="35" t="inlineStr">
        <is>
          <t>TOTAL</t>
        </is>
      </c>
      <c r="GE6" s="34">
        <f>SUM(GE4+GE5)</f>
        <v/>
      </c>
      <c r="GF6" s="35" t="inlineStr">
        <is>
          <t>TOTAL</t>
        </is>
      </c>
      <c r="GH6" s="34">
        <f>SUM(GH4+GH5)</f>
        <v/>
      </c>
      <c r="GI6" s="35" t="inlineStr">
        <is>
          <t>TOTAL</t>
        </is>
      </c>
      <c r="GK6" s="34">
        <f>SUM(GK4+GK5)</f>
        <v/>
      </c>
      <c r="GL6" s="35" t="inlineStr">
        <is>
          <t>TOTAL</t>
        </is>
      </c>
      <c r="GN6" s="34">
        <f>SUM(GN4+GN5)</f>
        <v/>
      </c>
      <c r="GO6" s="35" t="inlineStr">
        <is>
          <t>TOTAL</t>
        </is>
      </c>
      <c r="GQ6" s="34">
        <f>SUM(GQ4+GQ5)</f>
        <v/>
      </c>
      <c r="GR6" s="35" t="inlineStr">
        <is>
          <t>TOTAL</t>
        </is>
      </c>
      <c r="GT6" s="34">
        <f>SUM(GT4+GT5)</f>
        <v/>
      </c>
      <c r="GU6" s="35" t="inlineStr">
        <is>
          <t>TOTAL</t>
        </is>
      </c>
      <c r="GW6" s="34">
        <f>SUM(GW4+GW5)</f>
        <v/>
      </c>
      <c r="GX6" s="35" t="inlineStr">
        <is>
          <t>TOTAL</t>
        </is>
      </c>
      <c r="GZ6" s="34">
        <f>SUM(GZ4+GZ5)</f>
        <v/>
      </c>
      <c r="HA6" s="35" t="inlineStr">
        <is>
          <t>TOTAL</t>
        </is>
      </c>
      <c r="HC6" s="34">
        <f>SUM(HC4+HC5)</f>
        <v/>
      </c>
      <c r="HD6" s="35" t="inlineStr">
        <is>
          <t>TOTAL</t>
        </is>
      </c>
      <c r="HF6" s="34">
        <f>SUM(HF4+HF5)</f>
        <v/>
      </c>
      <c r="HG6" s="35" t="inlineStr">
        <is>
          <t>TOTAL</t>
        </is>
      </c>
      <c r="HI6" s="34">
        <f>SUM(HI4+HI5)</f>
        <v/>
      </c>
      <c r="HJ6" s="35" t="inlineStr">
        <is>
          <t>TOTAL</t>
        </is>
      </c>
      <c r="HL6" s="34">
        <f>SUM(HL4+HL5)</f>
        <v/>
      </c>
      <c r="HM6" s="35" t="inlineStr">
        <is>
          <t>TOTAL</t>
        </is>
      </c>
      <c r="HO6" s="34">
        <f>SUM(HO4+HO5)</f>
        <v/>
      </c>
      <c r="HP6" s="35" t="inlineStr">
        <is>
          <t>TOTAL</t>
        </is>
      </c>
      <c r="HR6" s="34">
        <f>SUM(HR4+HR5)</f>
        <v/>
      </c>
      <c r="HS6" s="35" t="inlineStr">
        <is>
          <t>TOTAL</t>
        </is>
      </c>
      <c r="HU6" s="34">
        <f>SUM(HU4+HU5)</f>
        <v/>
      </c>
      <c r="HV6" s="35" t="inlineStr">
        <is>
          <t>TOTAL</t>
        </is>
      </c>
      <c r="HX6" s="34">
        <f>SUM(HX4+HX5)</f>
        <v/>
      </c>
      <c r="HY6" s="35" t="inlineStr">
        <is>
          <t>TOTAL</t>
        </is>
      </c>
      <c r="IA6" s="34">
        <f>SUM(IA4+IA5)</f>
        <v/>
      </c>
      <c r="IB6" s="35" t="inlineStr">
        <is>
          <t>TOTAL</t>
        </is>
      </c>
      <c r="ID6" s="34">
        <f>SUM(ID4+ID5)</f>
        <v/>
      </c>
      <c r="IE6" s="35" t="inlineStr">
        <is>
          <t>TOTAL</t>
        </is>
      </c>
      <c r="IG6" s="34">
        <f>SUM(IG4+IG5)</f>
        <v/>
      </c>
      <c r="IH6" s="35" t="inlineStr">
        <is>
          <t>TOTAL</t>
        </is>
      </c>
      <c r="IJ6" s="34">
        <f>SUM(IJ4+IJ5)</f>
        <v/>
      </c>
      <c r="IK6" s="35" t="inlineStr">
        <is>
          <t>TOTAL</t>
        </is>
      </c>
      <c r="IM6" s="34">
        <f>SUM(IM4+IM5)</f>
        <v/>
      </c>
      <c r="IN6" s="35" t="inlineStr">
        <is>
          <t>TOTAL</t>
        </is>
      </c>
      <c r="IP6" s="34">
        <f>SUM(IP4+IP5)</f>
        <v/>
      </c>
      <c r="IQ6" s="35" t="inlineStr">
        <is>
          <t>TOTAL</t>
        </is>
      </c>
      <c r="IS6" s="34">
        <f>SUM(IS4+IS5)</f>
        <v/>
      </c>
      <c r="IT6" s="35" t="inlineStr">
        <is>
          <t>TOTAL</t>
        </is>
      </c>
      <c r="IV6" s="34">
        <f>SUM(IV4+IV5)</f>
        <v/>
      </c>
      <c r="IW6" s="35" t="inlineStr">
        <is>
          <t>TOTAL</t>
        </is>
      </c>
      <c r="IY6" s="34">
        <f>SUM(IY4+IY5)</f>
        <v/>
      </c>
      <c r="IZ6" s="35" t="inlineStr">
        <is>
          <t>TOTAL</t>
        </is>
      </c>
      <c r="JB6" s="34">
        <f>SUM(JB4+JB5)</f>
        <v/>
      </c>
      <c r="JC6" s="35" t="inlineStr">
        <is>
          <t>TOTAL</t>
        </is>
      </c>
      <c r="JE6" s="34">
        <f>SUM(JE4+JE5)</f>
        <v/>
      </c>
      <c r="JF6" s="35" t="inlineStr">
        <is>
          <t>TOTAL</t>
        </is>
      </c>
      <c r="JH6" s="34">
        <f>SUM(JH4+JH5)</f>
        <v/>
      </c>
      <c r="JI6" s="35" t="inlineStr">
        <is>
          <t>TOTAL</t>
        </is>
      </c>
      <c r="JK6" s="34">
        <f>SUM(JK4+JK5)</f>
        <v/>
      </c>
      <c r="JL6" s="35" t="inlineStr">
        <is>
          <t>TOTAL</t>
        </is>
      </c>
      <c r="JN6" s="34">
        <f>SUM(JN4+JN5)</f>
        <v/>
      </c>
      <c r="JO6" s="35" t="inlineStr">
        <is>
          <t>TOTAL</t>
        </is>
      </c>
      <c r="JQ6" s="34">
        <f>SUM(JQ4+JQ5)</f>
        <v/>
      </c>
      <c r="JR6" s="35" t="inlineStr">
        <is>
          <t>TOTAL</t>
        </is>
      </c>
      <c r="JT6" s="34">
        <f>SUM(JT4+JT5)</f>
        <v/>
      </c>
      <c r="JU6" s="35" t="inlineStr">
        <is>
          <t>TOTAL</t>
        </is>
      </c>
      <c r="JW6" s="34">
        <f>SUM(JW4+JW5)</f>
        <v/>
      </c>
      <c r="JX6" s="35" t="inlineStr">
        <is>
          <t>TOTAL</t>
        </is>
      </c>
      <c r="JZ6" s="34">
        <f>SUM(JZ4+JZ5)</f>
        <v/>
      </c>
      <c r="KA6" s="35" t="inlineStr">
        <is>
          <t>TOTAL</t>
        </is>
      </c>
      <c r="KC6" s="34">
        <f>SUM(KC4+KC5)</f>
        <v/>
      </c>
      <c r="KD6" s="35" t="inlineStr">
        <is>
          <t>TOTAL</t>
        </is>
      </c>
      <c r="KF6" s="34">
        <f>SUM(KF4+KF5)</f>
        <v/>
      </c>
      <c r="KG6" s="35" t="inlineStr">
        <is>
          <t>TOTAL</t>
        </is>
      </c>
      <c r="KI6" s="34">
        <f>SUM(KI4+KI5)</f>
        <v/>
      </c>
      <c r="KJ6" s="35" t="inlineStr">
        <is>
          <t>TOTAL</t>
        </is>
      </c>
      <c r="KL6" s="34">
        <f>SUM(KL4+KL5)</f>
        <v/>
      </c>
      <c r="KM6" s="35" t="inlineStr">
        <is>
          <t>TOTAL</t>
        </is>
      </c>
      <c r="KO6" s="34">
        <f>SUM(KO4+KO5)</f>
        <v/>
      </c>
      <c r="KP6" s="35" t="inlineStr">
        <is>
          <t>TOTAL</t>
        </is>
      </c>
      <c r="KR6" s="34">
        <f>SUM(KR4+KR5)</f>
        <v/>
      </c>
      <c r="KS6" s="35" t="inlineStr">
        <is>
          <t>TOTAL</t>
        </is>
      </c>
      <c r="KU6" s="34">
        <f>SUM(KU4+KU5)</f>
        <v/>
      </c>
      <c r="KV6" s="35" t="inlineStr">
        <is>
          <t>TOTAL</t>
        </is>
      </c>
      <c r="KX6" s="34">
        <f>SUM(KX4+KX5)</f>
        <v/>
      </c>
      <c r="KY6" s="35" t="inlineStr">
        <is>
          <t>TOTAL</t>
        </is>
      </c>
      <c r="LA6" s="34">
        <f>SUM(LA4+LA5)</f>
        <v/>
      </c>
      <c r="LB6" s="35" t="inlineStr">
        <is>
          <t>TOTAL</t>
        </is>
      </c>
    </row>
    <row r="8">
      <c r="A8" s="36" t="inlineStr">
        <is>
          <t>LAKEVILLE</t>
        </is>
      </c>
      <c r="B8" s="36" t="n"/>
      <c r="D8" s="36" t="inlineStr">
        <is>
          <t>LAKEVILLE</t>
        </is>
      </c>
      <c r="E8" s="36" t="n"/>
      <c r="G8" s="36" t="inlineStr">
        <is>
          <t>LAKEVILLE</t>
        </is>
      </c>
      <c r="H8" s="36" t="n"/>
      <c r="J8" s="36" t="inlineStr">
        <is>
          <t>LAKEVILLE</t>
        </is>
      </c>
      <c r="K8" s="36" t="n"/>
      <c r="M8" s="36" t="inlineStr">
        <is>
          <t>LAKEVILLE</t>
        </is>
      </c>
      <c r="N8" s="36" t="n"/>
      <c r="P8" s="36" t="inlineStr">
        <is>
          <t>LAKEVILLE</t>
        </is>
      </c>
      <c r="Q8" s="36" t="n"/>
      <c r="S8" s="36" t="inlineStr">
        <is>
          <t>LAKEVILLE</t>
        </is>
      </c>
      <c r="T8" s="36" t="n"/>
      <c r="V8" s="36" t="inlineStr">
        <is>
          <t>LAKEVILLE</t>
        </is>
      </c>
      <c r="W8" s="36" t="n"/>
      <c r="Y8" s="36" t="inlineStr">
        <is>
          <t>LAKEVILLE</t>
        </is>
      </c>
      <c r="Z8" s="36" t="n"/>
      <c r="AB8" s="36" t="inlineStr">
        <is>
          <t>LAKEVILLE</t>
        </is>
      </c>
      <c r="AC8" s="36" t="n"/>
      <c r="AE8" s="36" t="inlineStr">
        <is>
          <t>LAKEVILLE</t>
        </is>
      </c>
      <c r="AF8" s="36" t="n"/>
      <c r="AH8" s="36" t="inlineStr">
        <is>
          <t>LAKEVILLE</t>
        </is>
      </c>
      <c r="AI8" s="36" t="n"/>
      <c r="AK8" s="36" t="inlineStr">
        <is>
          <t>LAKEVILLE</t>
        </is>
      </c>
      <c r="AL8" s="36" t="n"/>
      <c r="AN8" s="36" t="inlineStr">
        <is>
          <t>LAKEVILLE</t>
        </is>
      </c>
      <c r="AO8" s="36" t="n"/>
      <c r="AQ8" s="36" t="inlineStr">
        <is>
          <t>LAKEVILLE</t>
        </is>
      </c>
      <c r="AR8" s="36" t="n"/>
      <c r="AT8" s="36" t="inlineStr">
        <is>
          <t>LAKEVILLE</t>
        </is>
      </c>
      <c r="AU8" s="36" t="n"/>
      <c r="AW8" s="36" t="inlineStr">
        <is>
          <t>LAKEVILLE</t>
        </is>
      </c>
      <c r="AX8" s="36" t="n"/>
      <c r="AZ8" s="36" t="inlineStr">
        <is>
          <t>LAKEVILLE</t>
        </is>
      </c>
      <c r="BA8" s="36" t="n"/>
      <c r="BC8" s="36" t="inlineStr">
        <is>
          <t>LAKEVILLE</t>
        </is>
      </c>
      <c r="BD8" s="36" t="n"/>
      <c r="BF8" s="36" t="inlineStr">
        <is>
          <t>LAKEVILLE</t>
        </is>
      </c>
      <c r="BG8" s="36" t="n"/>
      <c r="BI8" s="36" t="inlineStr">
        <is>
          <t>LAKEVILLE</t>
        </is>
      </c>
      <c r="BJ8" s="36" t="n"/>
      <c r="BL8" s="36" t="inlineStr">
        <is>
          <t>LAKEVILLE</t>
        </is>
      </c>
      <c r="BM8" s="36" t="n"/>
      <c r="BO8" s="36" t="inlineStr">
        <is>
          <t>LAKEVILLE</t>
        </is>
      </c>
      <c r="BP8" s="36" t="n"/>
      <c r="BR8" s="36" t="inlineStr">
        <is>
          <t>LAKEVILLE</t>
        </is>
      </c>
      <c r="BS8" s="36" t="n"/>
      <c r="BU8" s="36" t="inlineStr">
        <is>
          <t>LAKEVILLE</t>
        </is>
      </c>
      <c r="BV8" s="36" t="n"/>
      <c r="BX8" s="36" t="inlineStr">
        <is>
          <t>LAKEVILLE</t>
        </is>
      </c>
      <c r="BY8" s="36" t="n"/>
      <c r="CA8" s="36" t="inlineStr">
        <is>
          <t>LAKEVILLE</t>
        </is>
      </c>
      <c r="CB8" s="36" t="n"/>
      <c r="CD8" s="36" t="inlineStr">
        <is>
          <t>LAKEVILLE</t>
        </is>
      </c>
      <c r="CE8" s="36" t="n"/>
      <c r="CG8" s="36" t="inlineStr">
        <is>
          <t>LAKEVILLE</t>
        </is>
      </c>
      <c r="CH8" s="36" t="n"/>
      <c r="CJ8" s="36" t="inlineStr">
        <is>
          <t>LAKEVILLE</t>
        </is>
      </c>
      <c r="CK8" s="36" t="n"/>
      <c r="CM8" s="36" t="inlineStr">
        <is>
          <t>LAKEVILLE</t>
        </is>
      </c>
      <c r="CN8" s="36" t="n"/>
      <c r="CP8" s="36" t="inlineStr">
        <is>
          <t>LAKEVILLE</t>
        </is>
      </c>
      <c r="CQ8" s="36" t="n"/>
      <c r="CS8" s="36" t="inlineStr">
        <is>
          <t>LAKEVILLE</t>
        </is>
      </c>
      <c r="CT8" s="36" t="n"/>
      <c r="CV8" s="36" t="inlineStr">
        <is>
          <t>LAKEVILLE</t>
        </is>
      </c>
      <c r="CW8" s="36" t="n"/>
      <c r="CY8" s="36" t="inlineStr">
        <is>
          <t>LAKEVILLE</t>
        </is>
      </c>
      <c r="CZ8" s="36" t="n"/>
      <c r="DB8" s="36" t="inlineStr">
        <is>
          <t>LAKEVILLE</t>
        </is>
      </c>
      <c r="DC8" s="36" t="n"/>
      <c r="DE8" s="36" t="inlineStr">
        <is>
          <t>LAKEVILLE</t>
        </is>
      </c>
      <c r="DF8" s="36" t="n"/>
      <c r="DH8" s="36" t="inlineStr">
        <is>
          <t>LAKEVILLE</t>
        </is>
      </c>
      <c r="DI8" s="36" t="n"/>
      <c r="DK8" s="36" t="inlineStr">
        <is>
          <t>LAKEVILLE</t>
        </is>
      </c>
      <c r="DL8" s="36" t="n"/>
      <c r="DN8" s="36" t="inlineStr">
        <is>
          <t>LAKEVILLE</t>
        </is>
      </c>
      <c r="DO8" s="36" t="n"/>
      <c r="DQ8" s="36" t="inlineStr">
        <is>
          <t>LAKEVILLE</t>
        </is>
      </c>
      <c r="DR8" s="36" t="n"/>
      <c r="DT8" s="36" t="inlineStr">
        <is>
          <t>LAKEVILLE</t>
        </is>
      </c>
      <c r="DU8" s="36" t="n"/>
      <c r="DW8" s="36" t="inlineStr">
        <is>
          <t>LAKEVILLE</t>
        </is>
      </c>
      <c r="DX8" s="36" t="n"/>
      <c r="DZ8" s="36" t="inlineStr">
        <is>
          <t>LAKEVILLE</t>
        </is>
      </c>
      <c r="EA8" s="36" t="n"/>
      <c r="EC8" s="36" t="inlineStr">
        <is>
          <t>LAKEVILLE</t>
        </is>
      </c>
      <c r="ED8" s="36" t="n"/>
      <c r="EF8" s="36" t="inlineStr">
        <is>
          <t>LAKEVILLE</t>
        </is>
      </c>
      <c r="EG8" s="36" t="n"/>
      <c r="EI8" s="36" t="inlineStr">
        <is>
          <t>LAKEVILLE</t>
        </is>
      </c>
      <c r="EJ8" s="36" t="n"/>
      <c r="EL8" s="36" t="inlineStr">
        <is>
          <t>LAKEVILLE</t>
        </is>
      </c>
      <c r="EM8" s="36" t="n"/>
      <c r="EO8" s="36" t="inlineStr">
        <is>
          <t>LAKEVILLE</t>
        </is>
      </c>
      <c r="EP8" s="36" t="n"/>
      <c r="ER8" s="36" t="inlineStr">
        <is>
          <t>LAKEVILLE</t>
        </is>
      </c>
      <c r="ES8" s="36" t="n"/>
      <c r="EU8" s="36" t="inlineStr">
        <is>
          <t>LAKEVILLE</t>
        </is>
      </c>
      <c r="EV8" s="36" t="n"/>
      <c r="EX8" s="36" t="inlineStr">
        <is>
          <t>LAKEVILLE</t>
        </is>
      </c>
      <c r="EY8" s="36" t="n"/>
      <c r="FA8" s="36" t="inlineStr">
        <is>
          <t>LAKEVILLE</t>
        </is>
      </c>
      <c r="FB8" s="36" t="n"/>
      <c r="FD8" s="36" t="inlineStr">
        <is>
          <t>LAKEVILLE</t>
        </is>
      </c>
      <c r="FE8" s="36" t="n"/>
      <c r="FG8" s="36" t="inlineStr">
        <is>
          <t>LAKEVILLE</t>
        </is>
      </c>
      <c r="FH8" s="36" t="n"/>
      <c r="FJ8" s="36" t="inlineStr">
        <is>
          <t>LAKEVILLE</t>
        </is>
      </c>
      <c r="FK8" s="36" t="n"/>
      <c r="FM8" s="36" t="inlineStr">
        <is>
          <t>LAKEVILLE</t>
        </is>
      </c>
      <c r="FN8" s="36" t="n"/>
      <c r="FP8" s="36" t="inlineStr">
        <is>
          <t>LAKEVILLE</t>
        </is>
      </c>
      <c r="FQ8" s="36" t="n"/>
      <c r="FS8" s="36" t="inlineStr">
        <is>
          <t>LAKEVILLE</t>
        </is>
      </c>
      <c r="FT8" s="36" t="n"/>
      <c r="FV8" s="36" t="inlineStr">
        <is>
          <t>LAKEVILLE</t>
        </is>
      </c>
      <c r="FW8" s="36" t="n"/>
      <c r="FY8" s="36" t="inlineStr">
        <is>
          <t>LAKEVILLE</t>
        </is>
      </c>
      <c r="FZ8" s="36" t="n"/>
      <c r="GB8" s="36" t="inlineStr">
        <is>
          <t>LAKEVILLE</t>
        </is>
      </c>
      <c r="GC8" s="36" t="n"/>
      <c r="GE8" s="36" t="inlineStr">
        <is>
          <t>LAKEVILLE</t>
        </is>
      </c>
      <c r="GF8" s="36" t="n"/>
      <c r="GH8" s="36" t="inlineStr">
        <is>
          <t>LAKEVILLE</t>
        </is>
      </c>
      <c r="GI8" s="36" t="n"/>
      <c r="GK8" s="36" t="inlineStr">
        <is>
          <t>LAKEVILLE</t>
        </is>
      </c>
      <c r="GL8" s="36" t="n"/>
      <c r="GN8" s="36" t="inlineStr">
        <is>
          <t>LAKEVILLE</t>
        </is>
      </c>
      <c r="GO8" s="36" t="n"/>
      <c r="GQ8" s="36" t="inlineStr">
        <is>
          <t>LAKEVILLE</t>
        </is>
      </c>
      <c r="GR8" s="36" t="n"/>
      <c r="GT8" s="36" t="inlineStr">
        <is>
          <t>LAKEVILLE</t>
        </is>
      </c>
      <c r="GU8" s="36" t="n"/>
      <c r="GW8" s="36" t="inlineStr">
        <is>
          <t>LAKEVILLE</t>
        </is>
      </c>
      <c r="GX8" s="36" t="n"/>
      <c r="GZ8" s="36" t="inlineStr">
        <is>
          <t>LAKEVILLE</t>
        </is>
      </c>
      <c r="HA8" s="36" t="n"/>
      <c r="HC8" s="36" t="inlineStr">
        <is>
          <t>LAKEVILLE</t>
        </is>
      </c>
      <c r="HD8" s="36" t="n"/>
      <c r="HF8" s="36" t="inlineStr">
        <is>
          <t>LAKEVILLE</t>
        </is>
      </c>
      <c r="HG8" s="36" t="n"/>
      <c r="HI8" s="36" t="inlineStr">
        <is>
          <t>LAKEVILLE</t>
        </is>
      </c>
      <c r="HJ8" s="36" t="n"/>
      <c r="HL8" s="36" t="inlineStr">
        <is>
          <t>LAKEVILLE</t>
        </is>
      </c>
      <c r="HM8" s="36" t="n"/>
      <c r="HO8" s="36" t="inlineStr">
        <is>
          <t>LAKEVILLE</t>
        </is>
      </c>
      <c r="HP8" s="36" t="n"/>
      <c r="HR8" s="36" t="inlineStr">
        <is>
          <t>LAKEVILLE</t>
        </is>
      </c>
      <c r="HS8" s="36" t="n"/>
      <c r="HU8" s="36" t="inlineStr">
        <is>
          <t>LAKEVILLE</t>
        </is>
      </c>
      <c r="HV8" s="36" t="n"/>
      <c r="HX8" s="36" t="inlineStr">
        <is>
          <t>LAKEVILLE</t>
        </is>
      </c>
      <c r="HY8" s="36" t="n"/>
      <c r="IA8" s="36" t="inlineStr">
        <is>
          <t>LAKEVILLE</t>
        </is>
      </c>
      <c r="IB8" s="36" t="n"/>
      <c r="ID8" s="36" t="inlineStr">
        <is>
          <t>LAKEVILLE</t>
        </is>
      </c>
      <c r="IE8" s="36" t="n"/>
      <c r="IG8" s="36" t="inlineStr">
        <is>
          <t>LAKEVILLE</t>
        </is>
      </c>
      <c r="IH8" s="36" t="n"/>
      <c r="IJ8" s="36" t="inlineStr">
        <is>
          <t>LAKEVILLE</t>
        </is>
      </c>
      <c r="IK8" s="36" t="n"/>
      <c r="IM8" s="36" t="inlineStr">
        <is>
          <t>LAKEVILLE</t>
        </is>
      </c>
      <c r="IN8" s="36" t="n"/>
      <c r="IP8" s="36" t="inlineStr">
        <is>
          <t>LAKEVILLE</t>
        </is>
      </c>
      <c r="IQ8" s="36" t="n"/>
      <c r="IS8" s="36" t="inlineStr">
        <is>
          <t>LAKEVILLE</t>
        </is>
      </c>
      <c r="IT8" s="36" t="n"/>
      <c r="IV8" s="36" t="inlineStr">
        <is>
          <t>LAKEVILLE</t>
        </is>
      </c>
      <c r="IW8" s="36" t="n"/>
      <c r="IY8" s="36" t="inlineStr">
        <is>
          <t>LAKEVILLE</t>
        </is>
      </c>
      <c r="IZ8" s="36" t="n"/>
      <c r="JB8" s="36" t="inlineStr">
        <is>
          <t>LAKEVILLE</t>
        </is>
      </c>
      <c r="JC8" s="36" t="n"/>
      <c r="JE8" s="36" t="inlineStr">
        <is>
          <t>LAKEVILLE</t>
        </is>
      </c>
      <c r="JF8" s="36" t="n"/>
      <c r="JH8" s="36" t="inlineStr">
        <is>
          <t>LAKEVILLE</t>
        </is>
      </c>
      <c r="JI8" s="36" t="n"/>
      <c r="JK8" s="36" t="inlineStr">
        <is>
          <t>LAKEVILLE</t>
        </is>
      </c>
      <c r="JL8" s="36" t="n"/>
      <c r="JN8" s="36" t="inlineStr">
        <is>
          <t>LAKEVILLE</t>
        </is>
      </c>
      <c r="JO8" s="36" t="n"/>
      <c r="JQ8" s="36" t="inlineStr">
        <is>
          <t>LAKEVILLE</t>
        </is>
      </c>
      <c r="JR8" s="36" t="n"/>
      <c r="JT8" s="36" t="inlineStr">
        <is>
          <t>LAKEVILLE</t>
        </is>
      </c>
      <c r="JU8" s="36" t="n"/>
      <c r="JW8" s="36" t="inlineStr">
        <is>
          <t>LAKEVILLE</t>
        </is>
      </c>
      <c r="JX8" s="36" t="n"/>
      <c r="JZ8" s="36" t="inlineStr">
        <is>
          <t>LAKEVILLE</t>
        </is>
      </c>
      <c r="KA8" s="36" t="n"/>
      <c r="KC8" s="36" t="inlineStr">
        <is>
          <t>LAKEVILLE</t>
        </is>
      </c>
      <c r="KD8" s="36" t="n"/>
      <c r="KF8" s="36" t="inlineStr">
        <is>
          <t>LAKEVILLE</t>
        </is>
      </c>
      <c r="KG8" s="36" t="n"/>
      <c r="KI8" s="36" t="inlineStr">
        <is>
          <t>LAKEVILLE</t>
        </is>
      </c>
      <c r="KJ8" s="36" t="n"/>
      <c r="KL8" s="36" t="inlineStr">
        <is>
          <t>LAKEVILLE</t>
        </is>
      </c>
      <c r="KM8" s="36" t="n"/>
      <c r="KO8" s="36" t="inlineStr">
        <is>
          <t>LAKEVILLE</t>
        </is>
      </c>
      <c r="KP8" s="36" t="n"/>
      <c r="KR8" s="36" t="inlineStr">
        <is>
          <t>LAKEVILLE</t>
        </is>
      </c>
      <c r="KS8" s="36" t="n"/>
      <c r="KU8" s="36" t="inlineStr">
        <is>
          <t>LAKEVILLE</t>
        </is>
      </c>
      <c r="KV8" s="36" t="n"/>
      <c r="KX8" s="36" t="inlineStr">
        <is>
          <t>LAKEVILLE</t>
        </is>
      </c>
      <c r="KY8" s="36" t="n"/>
      <c r="LA8" s="36" t="inlineStr">
        <is>
          <t>LAKEVILLE</t>
        </is>
      </c>
      <c r="LB8" s="36" t="n"/>
    </row>
    <row r="9">
      <c r="A9" s="32" t="n">
        <v>32</v>
      </c>
      <c r="B9" s="33" t="inlineStr">
        <is>
          <t>OPEN REPAIR TICKETS</t>
        </is>
      </c>
      <c r="D9" s="32" t="n">
        <v>38</v>
      </c>
      <c r="E9" s="33" t="inlineStr">
        <is>
          <t>OPEN REPAIR TICKETS</t>
        </is>
      </c>
      <c r="G9" s="32" t="n"/>
      <c r="H9" s="33" t="inlineStr">
        <is>
          <t>OPEN REPAIR TICKETS</t>
        </is>
      </c>
      <c r="J9" s="32" t="n"/>
      <c r="K9" s="33" t="inlineStr">
        <is>
          <t>OPEN REPAIR TICKETS</t>
        </is>
      </c>
      <c r="M9" s="32" t="n"/>
      <c r="N9" s="33" t="inlineStr">
        <is>
          <t>OPEN REPAIR TICKETS</t>
        </is>
      </c>
      <c r="P9" s="32" t="n"/>
      <c r="Q9" s="33" t="inlineStr">
        <is>
          <t>OPEN REPAIR TICKETS</t>
        </is>
      </c>
      <c r="S9" s="32" t="n"/>
      <c r="T9" s="33" t="inlineStr">
        <is>
          <t>OPEN REPAIR TICKETS</t>
        </is>
      </c>
      <c r="V9" s="32" t="n"/>
      <c r="W9" s="33" t="inlineStr">
        <is>
          <t>OPEN REPAIR TICKETS</t>
        </is>
      </c>
      <c r="Y9" s="32" t="n"/>
      <c r="Z9" s="33" t="inlineStr">
        <is>
          <t>OPEN REPAIR TICKETS</t>
        </is>
      </c>
      <c r="AB9" s="32" t="n"/>
      <c r="AC9" s="33" t="inlineStr">
        <is>
          <t>OPEN REPAIR TICKETS</t>
        </is>
      </c>
      <c r="AE9" s="32" t="n"/>
      <c r="AF9" s="33" t="inlineStr">
        <is>
          <t>OPEN REPAIR TICKETS</t>
        </is>
      </c>
      <c r="AH9" s="32" t="n"/>
      <c r="AI9" s="33" t="inlineStr">
        <is>
          <t>OPEN REPAIR TICKETS</t>
        </is>
      </c>
      <c r="AK9" s="32" t="n"/>
      <c r="AL9" s="33" t="inlineStr">
        <is>
          <t>OPEN REPAIR TICKETS</t>
        </is>
      </c>
      <c r="AN9" s="32" t="n"/>
      <c r="AO9" s="33" t="inlineStr">
        <is>
          <t>OPEN REPAIR TICKETS</t>
        </is>
      </c>
      <c r="AQ9" s="32" t="n"/>
      <c r="AR9" s="33" t="inlineStr">
        <is>
          <t>OPEN REPAIR TICKETS</t>
        </is>
      </c>
      <c r="AT9" s="32" t="n"/>
      <c r="AU9" s="33" t="inlineStr">
        <is>
          <t>OPEN REPAIR TICKETS</t>
        </is>
      </c>
      <c r="AW9" s="32" t="n"/>
      <c r="AX9" s="33" t="inlineStr">
        <is>
          <t>OPEN REPAIR TICKETS</t>
        </is>
      </c>
      <c r="AZ9" s="32" t="n"/>
      <c r="BA9" s="33" t="inlineStr">
        <is>
          <t>OPEN REPAIR TICKETS</t>
        </is>
      </c>
      <c r="BC9" s="32" t="n"/>
      <c r="BD9" s="33" t="inlineStr">
        <is>
          <t>OPEN REPAIR TICKETS</t>
        </is>
      </c>
      <c r="BF9" s="32" t="n"/>
      <c r="BG9" s="33" t="inlineStr">
        <is>
          <t>OPEN REPAIR TICKETS</t>
        </is>
      </c>
      <c r="BI9" s="32" t="n"/>
      <c r="BJ9" s="33" t="inlineStr">
        <is>
          <t>OPEN REPAIR TICKETS</t>
        </is>
      </c>
      <c r="BL9" s="32" t="n"/>
      <c r="BM9" s="33" t="inlineStr">
        <is>
          <t>OPEN REPAIR TICKETS</t>
        </is>
      </c>
      <c r="BO9" s="32" t="n"/>
      <c r="BP9" s="33" t="inlineStr">
        <is>
          <t>OPEN REPAIR TICKETS</t>
        </is>
      </c>
      <c r="BR9" s="32" t="n"/>
      <c r="BS9" s="33" t="inlineStr">
        <is>
          <t>OPEN REPAIR TICKETS</t>
        </is>
      </c>
      <c r="BU9" s="32" t="n"/>
      <c r="BV9" s="33" t="inlineStr">
        <is>
          <t>OPEN REPAIR TICKETS</t>
        </is>
      </c>
      <c r="BX9" s="32" t="n"/>
      <c r="BY9" s="33" t="inlineStr">
        <is>
          <t>OPEN REPAIR TICKETS</t>
        </is>
      </c>
      <c r="CA9" s="32" t="n"/>
      <c r="CB9" s="33" t="inlineStr">
        <is>
          <t>OPEN REPAIR TICKETS</t>
        </is>
      </c>
      <c r="CD9" s="32" t="n"/>
      <c r="CE9" s="33" t="inlineStr">
        <is>
          <t>OPEN REPAIR TICKETS</t>
        </is>
      </c>
      <c r="CG9" s="32" t="n"/>
      <c r="CH9" s="33" t="inlineStr">
        <is>
          <t>OPEN REPAIR TICKETS</t>
        </is>
      </c>
      <c r="CJ9" s="32" t="n"/>
      <c r="CK9" s="33" t="inlineStr">
        <is>
          <t>OPEN REPAIR TICKETS</t>
        </is>
      </c>
      <c r="CM9" s="32" t="n"/>
      <c r="CN9" s="33" t="inlineStr">
        <is>
          <t>OPEN REPAIR TICKETS</t>
        </is>
      </c>
      <c r="CP9" s="32" t="n"/>
      <c r="CQ9" s="33" t="inlineStr">
        <is>
          <t>OPEN REPAIR TICKETS</t>
        </is>
      </c>
      <c r="CS9" s="32" t="n"/>
      <c r="CT9" s="33" t="inlineStr">
        <is>
          <t>OPEN REPAIR TICKETS</t>
        </is>
      </c>
      <c r="CV9" s="32" t="n"/>
      <c r="CW9" s="33" t="inlineStr">
        <is>
          <t>OPEN REPAIR TICKETS</t>
        </is>
      </c>
      <c r="CY9" s="32" t="n"/>
      <c r="CZ9" s="33" t="inlineStr">
        <is>
          <t>OPEN REPAIR TICKETS</t>
        </is>
      </c>
      <c r="DB9" s="32" t="n"/>
      <c r="DC9" s="33" t="inlineStr">
        <is>
          <t>OPEN REPAIR TICKETS</t>
        </is>
      </c>
      <c r="DE9" s="32" t="n"/>
      <c r="DF9" s="33" t="inlineStr">
        <is>
          <t>OPEN REPAIR TICKETS</t>
        </is>
      </c>
      <c r="DH9" s="32" t="n"/>
      <c r="DI9" s="33" t="inlineStr">
        <is>
          <t>OPEN REPAIR TICKETS</t>
        </is>
      </c>
      <c r="DK9" s="32" t="n"/>
      <c r="DL9" s="33" t="inlineStr">
        <is>
          <t>OPEN REPAIR TICKETS</t>
        </is>
      </c>
      <c r="DN9" s="32" t="n"/>
      <c r="DO9" s="33" t="inlineStr">
        <is>
          <t>OPEN REPAIR TICKETS</t>
        </is>
      </c>
      <c r="DQ9" s="32" t="n"/>
      <c r="DR9" s="33" t="inlineStr">
        <is>
          <t>OPEN REPAIR TICKETS</t>
        </is>
      </c>
      <c r="DT9" s="32" t="n"/>
      <c r="DU9" s="33" t="inlineStr">
        <is>
          <t>OPEN REPAIR TICKETS</t>
        </is>
      </c>
      <c r="DW9" s="32" t="n"/>
      <c r="DX9" s="33" t="inlineStr">
        <is>
          <t>OPEN REPAIR TICKETS</t>
        </is>
      </c>
      <c r="DZ9" s="32" t="n"/>
      <c r="EA9" s="33" t="inlineStr">
        <is>
          <t>OPEN REPAIR TICKETS</t>
        </is>
      </c>
      <c r="EC9" s="32" t="n"/>
      <c r="ED9" s="33" t="inlineStr">
        <is>
          <t>OPEN REPAIR TICKETS</t>
        </is>
      </c>
      <c r="EF9" s="32" t="n"/>
      <c r="EG9" s="33" t="inlineStr">
        <is>
          <t>OPEN REPAIR TICKETS</t>
        </is>
      </c>
      <c r="EI9" s="32" t="n"/>
      <c r="EJ9" s="33" t="inlineStr">
        <is>
          <t>OPEN REPAIR TICKETS</t>
        </is>
      </c>
      <c r="EL9" s="32" t="n"/>
      <c r="EM9" s="33" t="inlineStr">
        <is>
          <t>OPEN REPAIR TICKETS</t>
        </is>
      </c>
      <c r="EO9" s="32" t="n"/>
      <c r="EP9" s="33" t="inlineStr">
        <is>
          <t>OPEN REPAIR TICKETS</t>
        </is>
      </c>
      <c r="ER9" s="32" t="n"/>
      <c r="ES9" s="33" t="inlineStr">
        <is>
          <t>OPEN REPAIR TICKETS</t>
        </is>
      </c>
      <c r="EU9" s="32" t="n"/>
      <c r="EV9" s="33" t="inlineStr">
        <is>
          <t>OPEN REPAIR TICKETS</t>
        </is>
      </c>
      <c r="EX9" s="32" t="n"/>
      <c r="EY9" s="33" t="inlineStr">
        <is>
          <t>OPEN REPAIR TICKETS</t>
        </is>
      </c>
      <c r="FA9" s="32" t="n"/>
      <c r="FB9" s="33" t="inlineStr">
        <is>
          <t>OPEN REPAIR TICKETS</t>
        </is>
      </c>
      <c r="FD9" s="32" t="n"/>
      <c r="FE9" s="33" t="inlineStr">
        <is>
          <t>OPEN REPAIR TICKETS</t>
        </is>
      </c>
      <c r="FG9" s="32" t="n"/>
      <c r="FH9" s="33" t="inlineStr">
        <is>
          <t>OPEN REPAIR TICKETS</t>
        </is>
      </c>
      <c r="FJ9" s="32" t="n"/>
      <c r="FK9" s="33" t="inlineStr">
        <is>
          <t>OPEN REPAIR TICKETS</t>
        </is>
      </c>
      <c r="FM9" s="32" t="n"/>
      <c r="FN9" s="33" t="inlineStr">
        <is>
          <t>OPEN REPAIR TICKETS</t>
        </is>
      </c>
      <c r="FP9" s="32" t="n"/>
      <c r="FQ9" s="33" t="inlineStr">
        <is>
          <t>OPEN REPAIR TICKETS</t>
        </is>
      </c>
      <c r="FS9" s="32" t="n"/>
      <c r="FT9" s="33" t="inlineStr">
        <is>
          <t>OPEN REPAIR TICKETS</t>
        </is>
      </c>
      <c r="FV9" s="32" t="n"/>
      <c r="FW9" s="33" t="inlineStr">
        <is>
          <t>OPEN REPAIR TICKETS</t>
        </is>
      </c>
      <c r="FY9" s="32" t="n"/>
      <c r="FZ9" s="33" t="inlineStr">
        <is>
          <t>OPEN REPAIR TICKETS</t>
        </is>
      </c>
      <c r="GB9" s="32" t="n"/>
      <c r="GC9" s="33" t="inlineStr">
        <is>
          <t>OPEN REPAIR TICKETS</t>
        </is>
      </c>
      <c r="GE9" s="32" t="n"/>
      <c r="GF9" s="33" t="inlineStr">
        <is>
          <t>OPEN REPAIR TICKETS</t>
        </is>
      </c>
      <c r="GH9" s="32" t="n"/>
      <c r="GI9" s="33" t="inlineStr">
        <is>
          <t>OPEN REPAIR TICKETS</t>
        </is>
      </c>
      <c r="GK9" s="32" t="n"/>
      <c r="GL9" s="33" t="inlineStr">
        <is>
          <t>OPEN REPAIR TICKETS</t>
        </is>
      </c>
      <c r="GN9" s="32" t="n"/>
      <c r="GO9" s="33" t="inlineStr">
        <is>
          <t>OPEN REPAIR TICKETS</t>
        </is>
      </c>
      <c r="GQ9" s="32" t="n"/>
      <c r="GR9" s="33" t="inlineStr">
        <is>
          <t>OPEN REPAIR TICKETS</t>
        </is>
      </c>
      <c r="GT9" s="32" t="n"/>
      <c r="GU9" s="33" t="inlineStr">
        <is>
          <t>OPEN REPAIR TICKETS</t>
        </is>
      </c>
      <c r="GW9" s="32" t="n"/>
      <c r="GX9" s="33" t="inlineStr">
        <is>
          <t>OPEN REPAIR TICKETS</t>
        </is>
      </c>
      <c r="GZ9" s="32" t="n"/>
      <c r="HA9" s="33" t="inlineStr">
        <is>
          <t>OPEN REPAIR TICKETS</t>
        </is>
      </c>
      <c r="HC9" s="32" t="n"/>
      <c r="HD9" s="33" t="inlineStr">
        <is>
          <t>OPEN REPAIR TICKETS</t>
        </is>
      </c>
      <c r="HF9" s="32" t="n"/>
      <c r="HG9" s="33" t="inlineStr">
        <is>
          <t>OPEN REPAIR TICKETS</t>
        </is>
      </c>
      <c r="HI9" s="32" t="n"/>
      <c r="HJ9" s="33" t="inlineStr">
        <is>
          <t>OPEN REPAIR TICKETS</t>
        </is>
      </c>
      <c r="HL9" s="32" t="n"/>
      <c r="HM9" s="33" t="inlineStr">
        <is>
          <t>OPEN REPAIR TICKETS</t>
        </is>
      </c>
      <c r="HO9" s="32" t="n"/>
      <c r="HP9" s="33" t="inlineStr">
        <is>
          <t>OPEN REPAIR TICKETS</t>
        </is>
      </c>
      <c r="HR9" s="32" t="n"/>
      <c r="HS9" s="33" t="inlineStr">
        <is>
          <t>OPEN REPAIR TICKETS</t>
        </is>
      </c>
      <c r="HU9" s="32" t="n"/>
      <c r="HV9" s="33" t="inlineStr">
        <is>
          <t>OPEN REPAIR TICKETS</t>
        </is>
      </c>
      <c r="HX9" s="32" t="n"/>
      <c r="HY9" s="33" t="inlineStr">
        <is>
          <t>OPEN REPAIR TICKETS</t>
        </is>
      </c>
      <c r="IA9" s="32" t="n"/>
      <c r="IB9" s="33" t="inlineStr">
        <is>
          <t>OPEN REPAIR TICKETS</t>
        </is>
      </c>
      <c r="ID9" s="32" t="n"/>
      <c r="IE9" s="33" t="inlineStr">
        <is>
          <t>OPEN REPAIR TICKETS</t>
        </is>
      </c>
      <c r="IG9" s="32" t="n"/>
      <c r="IH9" s="33" t="inlineStr">
        <is>
          <t>OPEN REPAIR TICKETS</t>
        </is>
      </c>
      <c r="IJ9" s="32" t="n"/>
      <c r="IK9" s="33" t="inlineStr">
        <is>
          <t>OPEN REPAIR TICKETS</t>
        </is>
      </c>
      <c r="IM9" s="32" t="n"/>
      <c r="IN9" s="33" t="inlineStr">
        <is>
          <t>OPEN REPAIR TICKETS</t>
        </is>
      </c>
      <c r="IP9" s="32" t="n"/>
      <c r="IQ9" s="33" t="inlineStr">
        <is>
          <t>OPEN REPAIR TICKETS</t>
        </is>
      </c>
      <c r="IS9" s="32" t="n"/>
      <c r="IT9" s="33" t="inlineStr">
        <is>
          <t>OPEN REPAIR TICKETS</t>
        </is>
      </c>
      <c r="IV9" s="32" t="n"/>
      <c r="IW9" s="33" t="inlineStr">
        <is>
          <t>OPEN REPAIR TICKETS</t>
        </is>
      </c>
      <c r="IY9" s="32" t="n"/>
      <c r="IZ9" s="33" t="inlineStr">
        <is>
          <t>OPEN REPAIR TICKETS</t>
        </is>
      </c>
      <c r="JB9" s="32" t="n"/>
      <c r="JC9" s="33" t="inlineStr">
        <is>
          <t>OPEN REPAIR TICKETS</t>
        </is>
      </c>
      <c r="JE9" s="32" t="n"/>
      <c r="JF9" s="33" t="inlineStr">
        <is>
          <t>OPEN REPAIR TICKETS</t>
        </is>
      </c>
      <c r="JH9" s="32" t="n"/>
      <c r="JI9" s="33" t="inlineStr">
        <is>
          <t>OPEN REPAIR TICKETS</t>
        </is>
      </c>
      <c r="JK9" s="32" t="n"/>
      <c r="JL9" s="33" t="inlineStr">
        <is>
          <t>OPEN REPAIR TICKETS</t>
        </is>
      </c>
      <c r="JN9" s="32" t="n"/>
      <c r="JO9" s="33" t="inlineStr">
        <is>
          <t>OPEN REPAIR TICKETS</t>
        </is>
      </c>
      <c r="JQ9" s="32" t="n"/>
      <c r="JR9" s="33" t="inlineStr">
        <is>
          <t>OPEN REPAIR TICKETS</t>
        </is>
      </c>
      <c r="JT9" s="32" t="n"/>
      <c r="JU9" s="33" t="inlineStr">
        <is>
          <t>OPEN REPAIR TICKETS</t>
        </is>
      </c>
      <c r="JW9" s="32" t="n"/>
      <c r="JX9" s="33" t="inlineStr">
        <is>
          <t>OPEN REPAIR TICKETS</t>
        </is>
      </c>
      <c r="JZ9" s="32" t="n"/>
      <c r="KA9" s="33" t="inlineStr">
        <is>
          <t>OPEN REPAIR TICKETS</t>
        </is>
      </c>
      <c r="KC9" s="32" t="n"/>
      <c r="KD9" s="33" t="inlineStr">
        <is>
          <t>OPEN REPAIR TICKETS</t>
        </is>
      </c>
      <c r="KF9" s="32" t="n"/>
      <c r="KG9" s="33" t="inlineStr">
        <is>
          <t>OPEN REPAIR TICKETS</t>
        </is>
      </c>
      <c r="KI9" s="32" t="n"/>
      <c r="KJ9" s="33" t="inlineStr">
        <is>
          <t>OPEN REPAIR TICKETS</t>
        </is>
      </c>
      <c r="KL9" s="32" t="n"/>
      <c r="KM9" s="33" t="inlineStr">
        <is>
          <t>OPEN REPAIR TICKETS</t>
        </is>
      </c>
      <c r="KO9" s="32" t="n"/>
      <c r="KP9" s="33" t="inlineStr">
        <is>
          <t>OPEN REPAIR TICKETS</t>
        </is>
      </c>
      <c r="KR9" s="32" t="n"/>
      <c r="KS9" s="33" t="inlineStr">
        <is>
          <t>OPEN REPAIR TICKETS</t>
        </is>
      </c>
      <c r="KU9" s="32" t="n"/>
      <c r="KV9" s="33" t="inlineStr">
        <is>
          <t>OPEN REPAIR TICKETS</t>
        </is>
      </c>
      <c r="KX9" s="32" t="n"/>
      <c r="KY9" s="33" t="inlineStr">
        <is>
          <t>OPEN REPAIR TICKETS</t>
        </is>
      </c>
      <c r="LA9" s="32" t="n"/>
      <c r="LB9" s="33" t="inlineStr">
        <is>
          <t>OPEN REPAIR TICKETS</t>
        </is>
      </c>
    </row>
    <row r="10">
      <c r="A10" s="32" t="n">
        <v>173</v>
      </c>
      <c r="B10" s="33" t="inlineStr">
        <is>
          <t>OPEN PMS</t>
        </is>
      </c>
      <c r="D10" s="32" t="n">
        <v>241</v>
      </c>
      <c r="E10" s="33" t="inlineStr">
        <is>
          <t>OPEN PMS</t>
        </is>
      </c>
      <c r="G10" s="32" t="n"/>
      <c r="H10" s="33" t="inlineStr">
        <is>
          <t>OPEN PMS</t>
        </is>
      </c>
      <c r="J10" s="32" t="n"/>
      <c r="K10" s="33" t="inlineStr">
        <is>
          <t>OPEN PMS</t>
        </is>
      </c>
      <c r="M10" s="32" t="n"/>
      <c r="N10" s="33" t="inlineStr">
        <is>
          <t>OPEN PMS</t>
        </is>
      </c>
      <c r="P10" s="32" t="n"/>
      <c r="Q10" s="33" t="inlineStr">
        <is>
          <t>OPEN PMS</t>
        </is>
      </c>
      <c r="S10" s="32" t="n"/>
      <c r="T10" s="33" t="inlineStr">
        <is>
          <t>OPEN PMS</t>
        </is>
      </c>
      <c r="V10" s="32" t="n"/>
      <c r="W10" s="33" t="inlineStr">
        <is>
          <t>OPEN PMS</t>
        </is>
      </c>
      <c r="Y10" s="32" t="n"/>
      <c r="Z10" s="33" t="inlineStr">
        <is>
          <t>OPEN PMS</t>
        </is>
      </c>
      <c r="AB10" s="32" t="n"/>
      <c r="AC10" s="33" t="inlineStr">
        <is>
          <t>OPEN PMS</t>
        </is>
      </c>
      <c r="AE10" s="32" t="n"/>
      <c r="AF10" s="33" t="inlineStr">
        <is>
          <t>OPEN PMS</t>
        </is>
      </c>
      <c r="AH10" s="32" t="n"/>
      <c r="AI10" s="33" t="inlineStr">
        <is>
          <t>OPEN PMS</t>
        </is>
      </c>
      <c r="AK10" s="32" t="n"/>
      <c r="AL10" s="33" t="inlineStr">
        <is>
          <t>OPEN PMS</t>
        </is>
      </c>
      <c r="AN10" s="32" t="n"/>
      <c r="AO10" s="33" t="inlineStr">
        <is>
          <t>OPEN PMS</t>
        </is>
      </c>
      <c r="AQ10" s="32" t="n"/>
      <c r="AR10" s="33" t="inlineStr">
        <is>
          <t>OPEN PMS</t>
        </is>
      </c>
      <c r="AT10" s="32" t="n"/>
      <c r="AU10" s="33" t="inlineStr">
        <is>
          <t>OPEN PMS</t>
        </is>
      </c>
      <c r="AW10" s="32" t="n"/>
      <c r="AX10" s="33" t="inlineStr">
        <is>
          <t>OPEN PMS</t>
        </is>
      </c>
      <c r="AZ10" s="32" t="n"/>
      <c r="BA10" s="33" t="inlineStr">
        <is>
          <t>OPEN PMS</t>
        </is>
      </c>
      <c r="BC10" s="32" t="n"/>
      <c r="BD10" s="33" t="inlineStr">
        <is>
          <t>OPEN PMS</t>
        </is>
      </c>
      <c r="BF10" s="32" t="n"/>
      <c r="BG10" s="33" t="inlineStr">
        <is>
          <t>OPEN PMS</t>
        </is>
      </c>
      <c r="BI10" s="32" t="n"/>
      <c r="BJ10" s="33" t="inlineStr">
        <is>
          <t>OPEN PMS</t>
        </is>
      </c>
      <c r="BL10" s="32" t="n"/>
      <c r="BM10" s="33" t="inlineStr">
        <is>
          <t>OPEN PMS</t>
        </is>
      </c>
      <c r="BO10" s="32" t="n"/>
      <c r="BP10" s="33" t="inlineStr">
        <is>
          <t>OPEN PMS</t>
        </is>
      </c>
      <c r="BR10" s="32" t="n"/>
      <c r="BS10" s="33" t="inlineStr">
        <is>
          <t>OPEN PMS</t>
        </is>
      </c>
      <c r="BU10" s="32" t="n"/>
      <c r="BV10" s="33" t="inlineStr">
        <is>
          <t>OPEN PMS</t>
        </is>
      </c>
      <c r="BX10" s="32" t="n"/>
      <c r="BY10" s="33" t="inlineStr">
        <is>
          <t>OPEN PMS</t>
        </is>
      </c>
      <c r="CA10" s="32" t="n"/>
      <c r="CB10" s="33" t="inlineStr">
        <is>
          <t>OPEN PMS</t>
        </is>
      </c>
      <c r="CD10" s="32" t="n"/>
      <c r="CE10" s="33" t="inlineStr">
        <is>
          <t>OPEN PMS</t>
        </is>
      </c>
      <c r="CG10" s="32" t="n"/>
      <c r="CH10" s="33" t="inlineStr">
        <is>
          <t>OPEN PMS</t>
        </is>
      </c>
      <c r="CJ10" s="32" t="n"/>
      <c r="CK10" s="33" t="inlineStr">
        <is>
          <t>OPEN PMS</t>
        </is>
      </c>
      <c r="CM10" s="32" t="n"/>
      <c r="CN10" s="33" t="inlineStr">
        <is>
          <t>OPEN PMS</t>
        </is>
      </c>
      <c r="CP10" s="32" t="n"/>
      <c r="CQ10" s="33" t="inlineStr">
        <is>
          <t>OPEN PMS</t>
        </is>
      </c>
      <c r="CS10" s="32" t="n"/>
      <c r="CT10" s="33" t="inlineStr">
        <is>
          <t>OPEN PMS</t>
        </is>
      </c>
      <c r="CV10" s="32" t="n"/>
      <c r="CW10" s="33" t="inlineStr">
        <is>
          <t>OPEN PMS</t>
        </is>
      </c>
      <c r="CY10" s="32" t="n"/>
      <c r="CZ10" s="33" t="inlineStr">
        <is>
          <t>OPEN PMS</t>
        </is>
      </c>
      <c r="DB10" s="32" t="n"/>
      <c r="DC10" s="33" t="inlineStr">
        <is>
          <t>OPEN PMS</t>
        </is>
      </c>
      <c r="DE10" s="32" t="n"/>
      <c r="DF10" s="33" t="inlineStr">
        <is>
          <t>OPEN PMS</t>
        </is>
      </c>
      <c r="DH10" s="32" t="n"/>
      <c r="DI10" s="33" t="inlineStr">
        <is>
          <t>OPEN PMS</t>
        </is>
      </c>
      <c r="DK10" s="32" t="n"/>
      <c r="DL10" s="33" t="inlineStr">
        <is>
          <t>OPEN PMS</t>
        </is>
      </c>
      <c r="DN10" s="32" t="n"/>
      <c r="DO10" s="33" t="inlineStr">
        <is>
          <t>OPEN PMS</t>
        </is>
      </c>
      <c r="DQ10" s="32" t="n"/>
      <c r="DR10" s="33" t="inlineStr">
        <is>
          <t>OPEN PMS</t>
        </is>
      </c>
      <c r="DT10" s="32" t="n"/>
      <c r="DU10" s="33" t="inlineStr">
        <is>
          <t>OPEN PMS</t>
        </is>
      </c>
      <c r="DW10" s="32" t="n"/>
      <c r="DX10" s="33" t="inlineStr">
        <is>
          <t>OPEN PMS</t>
        </is>
      </c>
      <c r="DZ10" s="32" t="n"/>
      <c r="EA10" s="33" t="inlineStr">
        <is>
          <t>OPEN PMS</t>
        </is>
      </c>
      <c r="EC10" s="32" t="n"/>
      <c r="ED10" s="33" t="inlineStr">
        <is>
          <t>OPEN PMS</t>
        </is>
      </c>
      <c r="EF10" s="32" t="n"/>
      <c r="EG10" s="33" t="inlineStr">
        <is>
          <t>OPEN PMS</t>
        </is>
      </c>
      <c r="EI10" s="32" t="n"/>
      <c r="EJ10" s="33" t="inlineStr">
        <is>
          <t>OPEN PMS</t>
        </is>
      </c>
      <c r="EL10" s="32" t="n"/>
      <c r="EM10" s="33" t="inlineStr">
        <is>
          <t>OPEN PMS</t>
        </is>
      </c>
      <c r="EO10" s="32" t="n"/>
      <c r="EP10" s="33" t="inlineStr">
        <is>
          <t>OPEN PMS</t>
        </is>
      </c>
      <c r="ER10" s="32" t="n"/>
      <c r="ES10" s="33" t="inlineStr">
        <is>
          <t>OPEN PMS</t>
        </is>
      </c>
      <c r="EU10" s="32" t="n"/>
      <c r="EV10" s="33" t="inlineStr">
        <is>
          <t>OPEN PMS</t>
        </is>
      </c>
      <c r="EX10" s="32" t="n"/>
      <c r="EY10" s="33" t="inlineStr">
        <is>
          <t>OPEN PMS</t>
        </is>
      </c>
      <c r="FA10" s="32" t="n"/>
      <c r="FB10" s="33" t="inlineStr">
        <is>
          <t>OPEN PMS</t>
        </is>
      </c>
      <c r="FD10" s="32" t="n"/>
      <c r="FE10" s="33" t="inlineStr">
        <is>
          <t>OPEN PMS</t>
        </is>
      </c>
      <c r="FG10" s="32" t="n"/>
      <c r="FH10" s="33" t="inlineStr">
        <is>
          <t>OPEN PMS</t>
        </is>
      </c>
      <c r="FJ10" s="32" t="n"/>
      <c r="FK10" s="33" t="inlineStr">
        <is>
          <t>OPEN PMS</t>
        </is>
      </c>
      <c r="FM10" s="32" t="n"/>
      <c r="FN10" s="33" t="inlineStr">
        <is>
          <t>OPEN PMS</t>
        </is>
      </c>
      <c r="FP10" s="32" t="n"/>
      <c r="FQ10" s="33" t="inlineStr">
        <is>
          <t>OPEN PMS</t>
        </is>
      </c>
      <c r="FS10" s="32" t="n"/>
      <c r="FT10" s="33" t="inlineStr">
        <is>
          <t>OPEN PMS</t>
        </is>
      </c>
      <c r="FV10" s="32" t="n"/>
      <c r="FW10" s="33" t="inlineStr">
        <is>
          <t>OPEN PMS</t>
        </is>
      </c>
      <c r="FY10" s="32" t="n"/>
      <c r="FZ10" s="33" t="inlineStr">
        <is>
          <t>OPEN PMS</t>
        </is>
      </c>
      <c r="GB10" s="32" t="n"/>
      <c r="GC10" s="33" t="inlineStr">
        <is>
          <t>OPEN PMS</t>
        </is>
      </c>
      <c r="GE10" s="32" t="n"/>
      <c r="GF10" s="33" t="inlineStr">
        <is>
          <t>OPEN PMS</t>
        </is>
      </c>
      <c r="GH10" s="32" t="n"/>
      <c r="GI10" s="33" t="inlineStr">
        <is>
          <t>OPEN PMS</t>
        </is>
      </c>
      <c r="GK10" s="32" t="n"/>
      <c r="GL10" s="33" t="inlineStr">
        <is>
          <t>OPEN PMS</t>
        </is>
      </c>
      <c r="GN10" s="32" t="n"/>
      <c r="GO10" s="33" t="inlineStr">
        <is>
          <t>OPEN PMS</t>
        </is>
      </c>
      <c r="GQ10" s="32" t="n"/>
      <c r="GR10" s="33" t="inlineStr">
        <is>
          <t>OPEN PMS</t>
        </is>
      </c>
      <c r="GT10" s="32" t="n"/>
      <c r="GU10" s="33" t="inlineStr">
        <is>
          <t>OPEN PMS</t>
        </is>
      </c>
      <c r="GW10" s="32" t="n"/>
      <c r="GX10" s="33" t="inlineStr">
        <is>
          <t>OPEN PMS</t>
        </is>
      </c>
      <c r="GZ10" s="32" t="n"/>
      <c r="HA10" s="33" t="inlineStr">
        <is>
          <t>OPEN PMS</t>
        </is>
      </c>
      <c r="HC10" s="32" t="n"/>
      <c r="HD10" s="33" t="inlineStr">
        <is>
          <t>OPEN PMS</t>
        </is>
      </c>
      <c r="HF10" s="32" t="n"/>
      <c r="HG10" s="33" t="inlineStr">
        <is>
          <t>OPEN PMS</t>
        </is>
      </c>
      <c r="HI10" s="32" t="n"/>
      <c r="HJ10" s="33" t="inlineStr">
        <is>
          <t>OPEN PMS</t>
        </is>
      </c>
      <c r="HL10" s="32" t="n"/>
      <c r="HM10" s="33" t="inlineStr">
        <is>
          <t>OPEN PMS</t>
        </is>
      </c>
      <c r="HO10" s="32" t="n"/>
      <c r="HP10" s="33" t="inlineStr">
        <is>
          <t>OPEN PMS</t>
        </is>
      </c>
      <c r="HR10" s="32" t="n"/>
      <c r="HS10" s="33" t="inlineStr">
        <is>
          <t>OPEN PMS</t>
        </is>
      </c>
      <c r="HU10" s="32" t="n"/>
      <c r="HV10" s="33" t="inlineStr">
        <is>
          <t>OPEN PMS</t>
        </is>
      </c>
      <c r="HX10" s="32" t="n"/>
      <c r="HY10" s="33" t="inlineStr">
        <is>
          <t>OPEN PMS</t>
        </is>
      </c>
      <c r="IA10" s="32" t="n"/>
      <c r="IB10" s="33" t="inlineStr">
        <is>
          <t>OPEN PMS</t>
        </is>
      </c>
      <c r="ID10" s="32" t="n"/>
      <c r="IE10" s="33" t="inlineStr">
        <is>
          <t>OPEN PMS</t>
        </is>
      </c>
      <c r="IG10" s="32" t="n"/>
      <c r="IH10" s="33" t="inlineStr">
        <is>
          <t>OPEN PMS</t>
        </is>
      </c>
      <c r="IJ10" s="32" t="n"/>
      <c r="IK10" s="33" t="inlineStr">
        <is>
          <t>OPEN PMS</t>
        </is>
      </c>
      <c r="IM10" s="32" t="n"/>
      <c r="IN10" s="33" t="inlineStr">
        <is>
          <t>OPEN PMS</t>
        </is>
      </c>
      <c r="IP10" s="32" t="n"/>
      <c r="IQ10" s="33" t="inlineStr">
        <is>
          <t>OPEN PMS</t>
        </is>
      </c>
      <c r="IS10" s="32" t="n"/>
      <c r="IT10" s="33" t="inlineStr">
        <is>
          <t>OPEN PMS</t>
        </is>
      </c>
      <c r="IV10" s="32" t="n"/>
      <c r="IW10" s="33" t="inlineStr">
        <is>
          <t>OPEN PMS</t>
        </is>
      </c>
      <c r="IY10" s="32" t="n"/>
      <c r="IZ10" s="33" t="inlineStr">
        <is>
          <t>OPEN PMS</t>
        </is>
      </c>
      <c r="JB10" s="32" t="n"/>
      <c r="JC10" s="33" t="inlineStr">
        <is>
          <t>OPEN PMS</t>
        </is>
      </c>
      <c r="JE10" s="32" t="n"/>
      <c r="JF10" s="33" t="inlineStr">
        <is>
          <t>OPEN PMS</t>
        </is>
      </c>
      <c r="JH10" s="32" t="n"/>
      <c r="JI10" s="33" t="inlineStr">
        <is>
          <t>OPEN PMS</t>
        </is>
      </c>
      <c r="JK10" s="32" t="n"/>
      <c r="JL10" s="33" t="inlineStr">
        <is>
          <t>OPEN PMS</t>
        </is>
      </c>
      <c r="JN10" s="32" t="n"/>
      <c r="JO10" s="33" t="inlineStr">
        <is>
          <t>OPEN PMS</t>
        </is>
      </c>
      <c r="JQ10" s="32" t="n"/>
      <c r="JR10" s="33" t="inlineStr">
        <is>
          <t>OPEN PMS</t>
        </is>
      </c>
      <c r="JT10" s="32" t="n"/>
      <c r="JU10" s="33" t="inlineStr">
        <is>
          <t>OPEN PMS</t>
        </is>
      </c>
      <c r="JW10" s="32" t="n"/>
      <c r="JX10" s="33" t="inlineStr">
        <is>
          <t>OPEN PMS</t>
        </is>
      </c>
      <c r="JZ10" s="32" t="n"/>
      <c r="KA10" s="33" t="inlineStr">
        <is>
          <t>OPEN PMS</t>
        </is>
      </c>
      <c r="KC10" s="32" t="n"/>
      <c r="KD10" s="33" t="inlineStr">
        <is>
          <t>OPEN PMS</t>
        </is>
      </c>
      <c r="KF10" s="32" t="n"/>
      <c r="KG10" s="33" t="inlineStr">
        <is>
          <t>OPEN PMS</t>
        </is>
      </c>
      <c r="KI10" s="32" t="n"/>
      <c r="KJ10" s="33" t="inlineStr">
        <is>
          <t>OPEN PMS</t>
        </is>
      </c>
      <c r="KL10" s="32" t="n"/>
      <c r="KM10" s="33" t="inlineStr">
        <is>
          <t>OPEN PMS</t>
        </is>
      </c>
      <c r="KO10" s="32" t="n"/>
      <c r="KP10" s="33" t="inlineStr">
        <is>
          <t>OPEN PMS</t>
        </is>
      </c>
      <c r="KR10" s="32" t="n"/>
      <c r="KS10" s="33" t="inlineStr">
        <is>
          <t>OPEN PMS</t>
        </is>
      </c>
      <c r="KU10" s="32" t="n"/>
      <c r="KV10" s="33" t="inlineStr">
        <is>
          <t>OPEN PMS</t>
        </is>
      </c>
      <c r="KX10" s="32" t="n"/>
      <c r="KY10" s="33" t="inlineStr">
        <is>
          <t>OPEN PMS</t>
        </is>
      </c>
      <c r="LA10" s="32" t="n"/>
      <c r="LB10" s="33" t="inlineStr">
        <is>
          <t>OPEN PMS</t>
        </is>
      </c>
    </row>
    <row r="11">
      <c r="A11" s="34">
        <f>SUM(A9+A10)</f>
        <v/>
      </c>
      <c r="B11" s="35" t="inlineStr">
        <is>
          <t>TOTAL</t>
        </is>
      </c>
      <c r="D11" s="34">
        <f>SUM(D9+D10)</f>
        <v/>
      </c>
      <c r="E11" s="35" t="inlineStr">
        <is>
          <t>TOTAL</t>
        </is>
      </c>
      <c r="G11" s="34">
        <f>SUM(G9+G10)</f>
        <v/>
      </c>
      <c r="H11" s="35" t="inlineStr">
        <is>
          <t>TOTAL</t>
        </is>
      </c>
      <c r="J11" s="34">
        <f>SUM(J9+J10)</f>
        <v/>
      </c>
      <c r="K11" s="35" t="inlineStr">
        <is>
          <t>TOTAL</t>
        </is>
      </c>
      <c r="M11" s="34">
        <f>SUM(M9+M10)</f>
        <v/>
      </c>
      <c r="N11" s="35" t="inlineStr">
        <is>
          <t>TOTAL</t>
        </is>
      </c>
      <c r="P11" s="34">
        <f>SUM(P9+P10)</f>
        <v/>
      </c>
      <c r="Q11" s="35" t="inlineStr">
        <is>
          <t>TOTAL</t>
        </is>
      </c>
      <c r="S11" s="34">
        <f>SUM(S9+S10)</f>
        <v/>
      </c>
      <c r="T11" s="35" t="inlineStr">
        <is>
          <t>TOTAL</t>
        </is>
      </c>
      <c r="V11" s="34">
        <f>SUM(V9+V10)</f>
        <v/>
      </c>
      <c r="W11" s="35" t="inlineStr">
        <is>
          <t>TOTAL</t>
        </is>
      </c>
      <c r="Y11" s="34">
        <f>SUM(Y9+Y10)</f>
        <v/>
      </c>
      <c r="Z11" s="35" t="inlineStr">
        <is>
          <t>TOTAL</t>
        </is>
      </c>
      <c r="AB11" s="34">
        <f>SUM(AB9+AB10)</f>
        <v/>
      </c>
      <c r="AC11" s="35" t="inlineStr">
        <is>
          <t>TOTAL</t>
        </is>
      </c>
      <c r="AE11" s="34">
        <f>SUM(AE9+AE10)</f>
        <v/>
      </c>
      <c r="AF11" s="35" t="inlineStr">
        <is>
          <t>TOTAL</t>
        </is>
      </c>
      <c r="AH11" s="34">
        <f>SUM(AH9+AH10)</f>
        <v/>
      </c>
      <c r="AI11" s="35" t="inlineStr">
        <is>
          <t>TOTAL</t>
        </is>
      </c>
      <c r="AK11" s="34">
        <f>SUM(AK9+AK10)</f>
        <v/>
      </c>
      <c r="AL11" s="35" t="inlineStr">
        <is>
          <t>TOTAL</t>
        </is>
      </c>
      <c r="AN11" s="34">
        <f>SUM(AN9+AN10)</f>
        <v/>
      </c>
      <c r="AO11" s="35" t="inlineStr">
        <is>
          <t>TOTAL</t>
        </is>
      </c>
      <c r="AQ11" s="34">
        <f>SUM(AQ9+AQ10)</f>
        <v/>
      </c>
      <c r="AR11" s="35" t="inlineStr">
        <is>
          <t>TOTAL</t>
        </is>
      </c>
      <c r="AT11" s="34">
        <f>SUM(AT9+AT10)</f>
        <v/>
      </c>
      <c r="AU11" s="35" t="inlineStr">
        <is>
          <t>TOTAL</t>
        </is>
      </c>
      <c r="AW11" s="34">
        <f>SUM(AW9+AW10)</f>
        <v/>
      </c>
      <c r="AX11" s="35" t="inlineStr">
        <is>
          <t>TOTAL</t>
        </is>
      </c>
      <c r="AZ11" s="34">
        <f>SUM(AZ9+AZ10)</f>
        <v/>
      </c>
      <c r="BA11" s="35" t="inlineStr">
        <is>
          <t>TOTAL</t>
        </is>
      </c>
      <c r="BC11" s="34">
        <f>SUM(BC9+BC10)</f>
        <v/>
      </c>
      <c r="BD11" s="35" t="inlineStr">
        <is>
          <t>TOTAL</t>
        </is>
      </c>
      <c r="BF11" s="34">
        <f>SUM(BF9+BF10)</f>
        <v/>
      </c>
      <c r="BG11" s="35" t="inlineStr">
        <is>
          <t>TOTAL</t>
        </is>
      </c>
      <c r="BI11" s="34">
        <f>SUM(BI9+BI10)</f>
        <v/>
      </c>
      <c r="BJ11" s="35" t="inlineStr">
        <is>
          <t>TOTAL</t>
        </is>
      </c>
      <c r="BL11" s="34">
        <f>SUM(BL9+BL10)</f>
        <v/>
      </c>
      <c r="BM11" s="35" t="inlineStr">
        <is>
          <t>TOTAL</t>
        </is>
      </c>
      <c r="BO11" s="34">
        <f>SUM(BO9+BO10)</f>
        <v/>
      </c>
      <c r="BP11" s="35" t="inlineStr">
        <is>
          <t>TOTAL</t>
        </is>
      </c>
      <c r="BR11" s="34">
        <f>SUM(BR9+BR10)</f>
        <v/>
      </c>
      <c r="BS11" s="35" t="inlineStr">
        <is>
          <t>TOTAL</t>
        </is>
      </c>
      <c r="BU11" s="34">
        <f>SUM(BU9+BU10)</f>
        <v/>
      </c>
      <c r="BV11" s="35" t="inlineStr">
        <is>
          <t>TOTAL</t>
        </is>
      </c>
      <c r="BX11" s="34">
        <f>SUM(BX9+BX10)</f>
        <v/>
      </c>
      <c r="BY11" s="35" t="inlineStr">
        <is>
          <t>TOTAL</t>
        </is>
      </c>
      <c r="CA11" s="34">
        <f>SUM(CA9+CA10)</f>
        <v/>
      </c>
      <c r="CB11" s="35" t="inlineStr">
        <is>
          <t>TOTAL</t>
        </is>
      </c>
      <c r="CD11" s="34">
        <f>SUM(CD9+CD10)</f>
        <v/>
      </c>
      <c r="CE11" s="35" t="inlineStr">
        <is>
          <t>TOTAL</t>
        </is>
      </c>
      <c r="CG11" s="34">
        <f>SUM(CG9+CG10)</f>
        <v/>
      </c>
      <c r="CH11" s="35" t="inlineStr">
        <is>
          <t>TOTAL</t>
        </is>
      </c>
      <c r="CJ11" s="34">
        <f>SUM(CJ9+CJ10)</f>
        <v/>
      </c>
      <c r="CK11" s="35" t="inlineStr">
        <is>
          <t>TOTAL</t>
        </is>
      </c>
      <c r="CM11" s="34">
        <f>SUM(CM9+CM10)</f>
        <v/>
      </c>
      <c r="CN11" s="35" t="inlineStr">
        <is>
          <t>TOTAL</t>
        </is>
      </c>
      <c r="CP11" s="34">
        <f>SUM(CP9+CP10)</f>
        <v/>
      </c>
      <c r="CQ11" s="35" t="inlineStr">
        <is>
          <t>TOTAL</t>
        </is>
      </c>
      <c r="CS11" s="34">
        <f>SUM(CS9+CS10)</f>
        <v/>
      </c>
      <c r="CT11" s="35" t="inlineStr">
        <is>
          <t>TOTAL</t>
        </is>
      </c>
      <c r="CV11" s="34">
        <f>SUM(CV9+CV10)</f>
        <v/>
      </c>
      <c r="CW11" s="35" t="inlineStr">
        <is>
          <t>TOTAL</t>
        </is>
      </c>
      <c r="CY11" s="34">
        <f>SUM(CY9+CY10)</f>
        <v/>
      </c>
      <c r="CZ11" s="35" t="inlineStr">
        <is>
          <t>TOTAL</t>
        </is>
      </c>
      <c r="DB11" s="34">
        <f>SUM(DB9+DB10)</f>
        <v/>
      </c>
      <c r="DC11" s="35" t="inlineStr">
        <is>
          <t>TOTAL</t>
        </is>
      </c>
      <c r="DE11" s="34">
        <f>SUM(DE9+DE10)</f>
        <v/>
      </c>
      <c r="DF11" s="35" t="inlineStr">
        <is>
          <t>TOTAL</t>
        </is>
      </c>
      <c r="DH11" s="34">
        <f>SUM(DH9+DH10)</f>
        <v/>
      </c>
      <c r="DI11" s="35" t="inlineStr">
        <is>
          <t>TOTAL</t>
        </is>
      </c>
      <c r="DK11" s="34">
        <f>SUM(DK9+DK10)</f>
        <v/>
      </c>
      <c r="DL11" s="35" t="inlineStr">
        <is>
          <t>TOTAL</t>
        </is>
      </c>
      <c r="DN11" s="34">
        <f>SUM(DN9+DN10)</f>
        <v/>
      </c>
      <c r="DO11" s="35" t="inlineStr">
        <is>
          <t>TOTAL</t>
        </is>
      </c>
      <c r="DQ11" s="34">
        <f>SUM(DQ9+DQ10)</f>
        <v/>
      </c>
      <c r="DR11" s="35" t="inlineStr">
        <is>
          <t>TOTAL</t>
        </is>
      </c>
      <c r="DT11" s="34">
        <f>SUM(DT9+DT10)</f>
        <v/>
      </c>
      <c r="DU11" s="35" t="inlineStr">
        <is>
          <t>TOTAL</t>
        </is>
      </c>
      <c r="DW11" s="34">
        <f>SUM(DW9+DW10)</f>
        <v/>
      </c>
      <c r="DX11" s="35" t="inlineStr">
        <is>
          <t>TOTAL</t>
        </is>
      </c>
      <c r="DZ11" s="34">
        <f>SUM(DZ9+DZ10)</f>
        <v/>
      </c>
      <c r="EA11" s="35" t="inlineStr">
        <is>
          <t>TOTAL</t>
        </is>
      </c>
      <c r="EC11" s="34">
        <f>SUM(EC9+EC10)</f>
        <v/>
      </c>
      <c r="ED11" s="35" t="inlineStr">
        <is>
          <t>TOTAL</t>
        </is>
      </c>
      <c r="EF11" s="34">
        <f>SUM(EF9+EF10)</f>
        <v/>
      </c>
      <c r="EG11" s="35" t="inlineStr">
        <is>
          <t>TOTAL</t>
        </is>
      </c>
      <c r="EI11" s="34">
        <f>SUM(EI9+EI10)</f>
        <v/>
      </c>
      <c r="EJ11" s="35" t="inlineStr">
        <is>
          <t>TOTAL</t>
        </is>
      </c>
      <c r="EL11" s="34">
        <f>SUM(EL9+EL10)</f>
        <v/>
      </c>
      <c r="EM11" s="35" t="inlineStr">
        <is>
          <t>TOTAL</t>
        </is>
      </c>
      <c r="EO11" s="34">
        <f>SUM(EO9+EO10)</f>
        <v/>
      </c>
      <c r="EP11" s="35" t="inlineStr">
        <is>
          <t>TOTAL</t>
        </is>
      </c>
      <c r="ER11" s="34">
        <f>SUM(ER9+ER10)</f>
        <v/>
      </c>
      <c r="ES11" s="35" t="inlineStr">
        <is>
          <t>TOTAL</t>
        </is>
      </c>
      <c r="EU11" s="34">
        <f>SUM(EU9+EU10)</f>
        <v/>
      </c>
      <c r="EV11" s="35" t="inlineStr">
        <is>
          <t>TOTAL</t>
        </is>
      </c>
      <c r="EX11" s="34">
        <f>SUM(EX9+EX10)</f>
        <v/>
      </c>
      <c r="EY11" s="35" t="inlineStr">
        <is>
          <t>TOTAL</t>
        </is>
      </c>
      <c r="FA11" s="34">
        <f>SUM(FA9+FA10)</f>
        <v/>
      </c>
      <c r="FB11" s="35" t="inlineStr">
        <is>
          <t>TOTAL</t>
        </is>
      </c>
      <c r="FD11" s="34">
        <f>SUM(FD9+FD10)</f>
        <v/>
      </c>
      <c r="FE11" s="35" t="inlineStr">
        <is>
          <t>TOTAL</t>
        </is>
      </c>
      <c r="FG11" s="34">
        <f>SUM(FG9+FG10)</f>
        <v/>
      </c>
      <c r="FH11" s="35" t="inlineStr">
        <is>
          <t>TOTAL</t>
        </is>
      </c>
      <c r="FJ11" s="34">
        <f>SUM(FJ9+FJ10)</f>
        <v/>
      </c>
      <c r="FK11" s="35" t="inlineStr">
        <is>
          <t>TOTAL</t>
        </is>
      </c>
      <c r="FM11" s="34">
        <f>SUM(FM9+FM10)</f>
        <v/>
      </c>
      <c r="FN11" s="35" t="inlineStr">
        <is>
          <t>TOTAL</t>
        </is>
      </c>
      <c r="FP11" s="34">
        <f>SUM(FP9+FP10)</f>
        <v/>
      </c>
      <c r="FQ11" s="35" t="inlineStr">
        <is>
          <t>TOTAL</t>
        </is>
      </c>
      <c r="FS11" s="34">
        <f>SUM(FS9+FS10)</f>
        <v/>
      </c>
      <c r="FT11" s="35" t="inlineStr">
        <is>
          <t>TOTAL</t>
        </is>
      </c>
      <c r="FV11" s="34">
        <f>SUM(FV9+FV10)</f>
        <v/>
      </c>
      <c r="FW11" s="35" t="inlineStr">
        <is>
          <t>TOTAL</t>
        </is>
      </c>
      <c r="FY11" s="34">
        <f>SUM(FY9+FY10)</f>
        <v/>
      </c>
      <c r="FZ11" s="35" t="inlineStr">
        <is>
          <t>TOTAL</t>
        </is>
      </c>
      <c r="GB11" s="34">
        <f>SUM(GB9+GB10)</f>
        <v/>
      </c>
      <c r="GC11" s="35" t="inlineStr">
        <is>
          <t>TOTAL</t>
        </is>
      </c>
      <c r="GE11" s="34">
        <f>SUM(GE9+GE10)</f>
        <v/>
      </c>
      <c r="GF11" s="35" t="inlineStr">
        <is>
          <t>TOTAL</t>
        </is>
      </c>
      <c r="GH11" s="34">
        <f>SUM(GH9+GH10)</f>
        <v/>
      </c>
      <c r="GI11" s="35" t="inlineStr">
        <is>
          <t>TOTAL</t>
        </is>
      </c>
      <c r="GK11" s="34">
        <f>SUM(GK9+GK10)</f>
        <v/>
      </c>
      <c r="GL11" s="35" t="inlineStr">
        <is>
          <t>TOTAL</t>
        </is>
      </c>
      <c r="GN11" s="34">
        <f>SUM(GN9+GN10)</f>
        <v/>
      </c>
      <c r="GO11" s="35" t="inlineStr">
        <is>
          <t>TOTAL</t>
        </is>
      </c>
      <c r="GQ11" s="34">
        <f>SUM(GQ9+GQ10)</f>
        <v/>
      </c>
      <c r="GR11" s="35" t="inlineStr">
        <is>
          <t>TOTAL</t>
        </is>
      </c>
      <c r="GT11" s="34">
        <f>SUM(GT9+GT10)</f>
        <v/>
      </c>
      <c r="GU11" s="35" t="inlineStr">
        <is>
          <t>TOTAL</t>
        </is>
      </c>
      <c r="GW11" s="34">
        <f>SUM(GW9+GW10)</f>
        <v/>
      </c>
      <c r="GX11" s="35" t="inlineStr">
        <is>
          <t>TOTAL</t>
        </is>
      </c>
      <c r="GZ11" s="34">
        <f>SUM(GZ9+GZ10)</f>
        <v/>
      </c>
      <c r="HA11" s="35" t="inlineStr">
        <is>
          <t>TOTAL</t>
        </is>
      </c>
      <c r="HC11" s="34">
        <f>SUM(HC9+HC10)</f>
        <v/>
      </c>
      <c r="HD11" s="35" t="inlineStr">
        <is>
          <t>TOTAL</t>
        </is>
      </c>
      <c r="HF11" s="34">
        <f>SUM(HF9+HF10)</f>
        <v/>
      </c>
      <c r="HG11" s="35" t="inlineStr">
        <is>
          <t>TOTAL</t>
        </is>
      </c>
      <c r="HI11" s="34">
        <f>SUM(HI9+HI10)</f>
        <v/>
      </c>
      <c r="HJ11" s="35" t="inlineStr">
        <is>
          <t>TOTAL</t>
        </is>
      </c>
      <c r="HL11" s="34">
        <f>SUM(HL9+HL10)</f>
        <v/>
      </c>
      <c r="HM11" s="35" t="inlineStr">
        <is>
          <t>TOTAL</t>
        </is>
      </c>
      <c r="HO11" s="34">
        <f>SUM(HO9+HO10)</f>
        <v/>
      </c>
      <c r="HP11" s="35" t="inlineStr">
        <is>
          <t>TOTAL</t>
        </is>
      </c>
      <c r="HR11" s="34">
        <f>SUM(HR9+HR10)</f>
        <v/>
      </c>
      <c r="HS11" s="35" t="inlineStr">
        <is>
          <t>TOTAL</t>
        </is>
      </c>
      <c r="HU11" s="34">
        <f>SUM(HU9+HU10)</f>
        <v/>
      </c>
      <c r="HV11" s="35" t="inlineStr">
        <is>
          <t>TOTAL</t>
        </is>
      </c>
      <c r="HX11" s="34">
        <f>SUM(HX9+HX10)</f>
        <v/>
      </c>
      <c r="HY11" s="35" t="inlineStr">
        <is>
          <t>TOTAL</t>
        </is>
      </c>
      <c r="IA11" s="34">
        <f>SUM(IA9+IA10)</f>
        <v/>
      </c>
      <c r="IB11" s="35" t="inlineStr">
        <is>
          <t>TOTAL</t>
        </is>
      </c>
      <c r="ID11" s="34">
        <f>SUM(ID9+ID10)</f>
        <v/>
      </c>
      <c r="IE11" s="35" t="inlineStr">
        <is>
          <t>TOTAL</t>
        </is>
      </c>
      <c r="IG11" s="34">
        <f>SUM(IG9+IG10)</f>
        <v/>
      </c>
      <c r="IH11" s="35" t="inlineStr">
        <is>
          <t>TOTAL</t>
        </is>
      </c>
      <c r="IJ11" s="34">
        <f>SUM(IJ9+IJ10)</f>
        <v/>
      </c>
      <c r="IK11" s="35" t="inlineStr">
        <is>
          <t>TOTAL</t>
        </is>
      </c>
      <c r="IM11" s="34">
        <f>SUM(IM9+IM10)</f>
        <v/>
      </c>
      <c r="IN11" s="35" t="inlineStr">
        <is>
          <t>TOTAL</t>
        </is>
      </c>
      <c r="IP11" s="34">
        <f>SUM(IP9+IP10)</f>
        <v/>
      </c>
      <c r="IQ11" s="35" t="inlineStr">
        <is>
          <t>TOTAL</t>
        </is>
      </c>
      <c r="IS11" s="34">
        <f>SUM(IS9+IS10)</f>
        <v/>
      </c>
      <c r="IT11" s="35" t="inlineStr">
        <is>
          <t>TOTAL</t>
        </is>
      </c>
      <c r="IV11" s="34">
        <f>SUM(IV9+IV10)</f>
        <v/>
      </c>
      <c r="IW11" s="35" t="inlineStr">
        <is>
          <t>TOTAL</t>
        </is>
      </c>
      <c r="IY11" s="34">
        <f>SUM(IY9+IY10)</f>
        <v/>
      </c>
      <c r="IZ11" s="35" t="inlineStr">
        <is>
          <t>TOTAL</t>
        </is>
      </c>
      <c r="JB11" s="34">
        <f>SUM(JB9+JB10)</f>
        <v/>
      </c>
      <c r="JC11" s="35" t="inlineStr">
        <is>
          <t>TOTAL</t>
        </is>
      </c>
      <c r="JE11" s="34">
        <f>SUM(JE9+JE10)</f>
        <v/>
      </c>
      <c r="JF11" s="35" t="inlineStr">
        <is>
          <t>TOTAL</t>
        </is>
      </c>
      <c r="JH11" s="34">
        <f>SUM(JH9+JH10)</f>
        <v/>
      </c>
      <c r="JI11" s="35" t="inlineStr">
        <is>
          <t>TOTAL</t>
        </is>
      </c>
      <c r="JK11" s="34">
        <f>SUM(JK9+JK10)</f>
        <v/>
      </c>
      <c r="JL11" s="35" t="inlineStr">
        <is>
          <t>TOTAL</t>
        </is>
      </c>
      <c r="JN11" s="34">
        <f>SUM(JN9+JN10)</f>
        <v/>
      </c>
      <c r="JO11" s="35" t="inlineStr">
        <is>
          <t>TOTAL</t>
        </is>
      </c>
      <c r="JQ11" s="34">
        <f>SUM(JQ9+JQ10)</f>
        <v/>
      </c>
      <c r="JR11" s="35" t="inlineStr">
        <is>
          <t>TOTAL</t>
        </is>
      </c>
      <c r="JT11" s="34">
        <f>SUM(JT9+JT10)</f>
        <v/>
      </c>
      <c r="JU11" s="35" t="inlineStr">
        <is>
          <t>TOTAL</t>
        </is>
      </c>
      <c r="JW11" s="34">
        <f>SUM(JW9+JW10)</f>
        <v/>
      </c>
      <c r="JX11" s="35" t="inlineStr">
        <is>
          <t>TOTAL</t>
        </is>
      </c>
      <c r="JZ11" s="34">
        <f>SUM(JZ9+JZ10)</f>
        <v/>
      </c>
      <c r="KA11" s="35" t="inlineStr">
        <is>
          <t>TOTAL</t>
        </is>
      </c>
      <c r="KC11" s="34">
        <f>SUM(KC9+KC10)</f>
        <v/>
      </c>
      <c r="KD11" s="35" t="inlineStr">
        <is>
          <t>TOTAL</t>
        </is>
      </c>
      <c r="KF11" s="34">
        <f>SUM(KF9+KF10)</f>
        <v/>
      </c>
      <c r="KG11" s="35" t="inlineStr">
        <is>
          <t>TOTAL</t>
        </is>
      </c>
      <c r="KI11" s="34">
        <f>SUM(KI9+KI10)</f>
        <v/>
      </c>
      <c r="KJ11" s="35" t="inlineStr">
        <is>
          <t>TOTAL</t>
        </is>
      </c>
      <c r="KL11" s="34">
        <f>SUM(KL9+KL10)</f>
        <v/>
      </c>
      <c r="KM11" s="35" t="inlineStr">
        <is>
          <t>TOTAL</t>
        </is>
      </c>
      <c r="KO11" s="34">
        <f>SUM(KO9+KO10)</f>
        <v/>
      </c>
      <c r="KP11" s="35" t="inlineStr">
        <is>
          <t>TOTAL</t>
        </is>
      </c>
      <c r="KR11" s="34">
        <f>SUM(KR9+KR10)</f>
        <v/>
      </c>
      <c r="KS11" s="35" t="inlineStr">
        <is>
          <t>TOTAL</t>
        </is>
      </c>
      <c r="KU11" s="34">
        <f>SUM(KU9+KU10)</f>
        <v/>
      </c>
      <c r="KV11" s="35" t="inlineStr">
        <is>
          <t>TOTAL</t>
        </is>
      </c>
      <c r="KX11" s="34">
        <f>SUM(KX9+KX10)</f>
        <v/>
      </c>
      <c r="KY11" s="35" t="inlineStr">
        <is>
          <t>TOTAL</t>
        </is>
      </c>
      <c r="LA11" s="34">
        <f>SUM(LA9+LA10)</f>
        <v/>
      </c>
      <c r="LB11" s="35" t="inlineStr">
        <is>
          <t>TOTAL</t>
        </is>
      </c>
    </row>
    <row r="13">
      <c r="A13" s="37" t="inlineStr">
        <is>
          <t>COMBINED</t>
        </is>
      </c>
      <c r="B13" s="37" t="n"/>
      <c r="D13" s="37" t="inlineStr">
        <is>
          <t>COMBINED</t>
        </is>
      </c>
      <c r="E13" s="37" t="n"/>
      <c r="G13" s="37" t="inlineStr">
        <is>
          <t>COMBINED</t>
        </is>
      </c>
      <c r="H13" s="37" t="n"/>
      <c r="J13" s="37" t="inlineStr">
        <is>
          <t>COMBINED</t>
        </is>
      </c>
      <c r="K13" s="37" t="n"/>
      <c r="M13" s="37" t="inlineStr">
        <is>
          <t>COMBINED</t>
        </is>
      </c>
      <c r="N13" s="37" t="n"/>
      <c r="P13" s="37" t="inlineStr">
        <is>
          <t>COMBINED</t>
        </is>
      </c>
      <c r="Q13" s="37" t="n"/>
      <c r="S13" s="37" t="inlineStr">
        <is>
          <t>COMBINED</t>
        </is>
      </c>
      <c r="T13" s="37" t="n"/>
      <c r="V13" s="37" t="inlineStr">
        <is>
          <t>COMBINED</t>
        </is>
      </c>
      <c r="W13" s="37" t="n"/>
      <c r="Y13" s="37" t="inlineStr">
        <is>
          <t>COMBINED</t>
        </is>
      </c>
      <c r="Z13" s="37" t="n"/>
      <c r="AB13" s="37" t="inlineStr">
        <is>
          <t>COMBINED</t>
        </is>
      </c>
      <c r="AC13" s="37" t="n"/>
      <c r="AE13" s="37" t="inlineStr">
        <is>
          <t>COMBINED</t>
        </is>
      </c>
      <c r="AF13" s="37" t="n"/>
      <c r="AH13" s="37" t="inlineStr">
        <is>
          <t>COMBINED</t>
        </is>
      </c>
      <c r="AI13" s="37" t="n"/>
      <c r="AK13" s="37" t="inlineStr">
        <is>
          <t>COMBINED</t>
        </is>
      </c>
      <c r="AL13" s="37" t="n"/>
      <c r="AN13" s="37" t="inlineStr">
        <is>
          <t>COMBINED</t>
        </is>
      </c>
      <c r="AO13" s="37" t="n"/>
      <c r="AQ13" s="37" t="inlineStr">
        <is>
          <t>COMBINED</t>
        </is>
      </c>
      <c r="AR13" s="37" t="n"/>
      <c r="AT13" s="37" t="inlineStr">
        <is>
          <t>COMBINED</t>
        </is>
      </c>
      <c r="AU13" s="37" t="n"/>
      <c r="AW13" s="37" t="inlineStr">
        <is>
          <t>COMBINED</t>
        </is>
      </c>
      <c r="AX13" s="37" t="n"/>
      <c r="AZ13" s="37" t="inlineStr">
        <is>
          <t>COMBINED</t>
        </is>
      </c>
      <c r="BA13" s="37" t="n"/>
      <c r="BC13" s="37" t="inlineStr">
        <is>
          <t>COMBINED</t>
        </is>
      </c>
      <c r="BD13" s="37" t="n"/>
      <c r="BF13" s="37" t="inlineStr">
        <is>
          <t>COMBINED</t>
        </is>
      </c>
      <c r="BG13" s="37" t="n"/>
      <c r="BI13" s="37" t="inlineStr">
        <is>
          <t>COMBINED</t>
        </is>
      </c>
      <c r="BJ13" s="37" t="n"/>
      <c r="BL13" s="37" t="inlineStr">
        <is>
          <t>COMBINED</t>
        </is>
      </c>
      <c r="BM13" s="37" t="n"/>
      <c r="BO13" s="37" t="inlineStr">
        <is>
          <t>COMBINED</t>
        </is>
      </c>
      <c r="BP13" s="37" t="n"/>
      <c r="BR13" s="37" t="inlineStr">
        <is>
          <t>COMBINED</t>
        </is>
      </c>
      <c r="BS13" s="37" t="n"/>
      <c r="BU13" s="37" t="inlineStr">
        <is>
          <t>COMBINED</t>
        </is>
      </c>
      <c r="BV13" s="37" t="n"/>
      <c r="BX13" s="37" t="inlineStr">
        <is>
          <t>COMBINED</t>
        </is>
      </c>
      <c r="BY13" s="37" t="n"/>
      <c r="CA13" s="37" t="inlineStr">
        <is>
          <t>COMBINED</t>
        </is>
      </c>
      <c r="CB13" s="37" t="n"/>
      <c r="CD13" s="37" t="inlineStr">
        <is>
          <t>COMBINED</t>
        </is>
      </c>
      <c r="CE13" s="37" t="n"/>
      <c r="CG13" s="37" t="inlineStr">
        <is>
          <t>COMBINED</t>
        </is>
      </c>
      <c r="CH13" s="37" t="n"/>
      <c r="CJ13" s="37" t="inlineStr">
        <is>
          <t>COMBINED</t>
        </is>
      </c>
      <c r="CK13" s="37" t="n"/>
      <c r="CM13" s="37" t="inlineStr">
        <is>
          <t>COMBINED</t>
        </is>
      </c>
      <c r="CN13" s="37" t="n"/>
      <c r="CP13" s="37" t="inlineStr">
        <is>
          <t>COMBINED</t>
        </is>
      </c>
      <c r="CQ13" s="37" t="n"/>
      <c r="CS13" s="37" t="inlineStr">
        <is>
          <t>COMBINED</t>
        </is>
      </c>
      <c r="CT13" s="37" t="n"/>
      <c r="CV13" s="37" t="inlineStr">
        <is>
          <t>COMBINED</t>
        </is>
      </c>
      <c r="CW13" s="37" t="n"/>
      <c r="CY13" s="37" t="inlineStr">
        <is>
          <t>COMBINED</t>
        </is>
      </c>
      <c r="CZ13" s="37" t="n"/>
      <c r="DB13" s="37" t="inlineStr">
        <is>
          <t>COMBINED</t>
        </is>
      </c>
      <c r="DC13" s="37" t="n"/>
      <c r="DE13" s="37" t="inlineStr">
        <is>
          <t>COMBINED</t>
        </is>
      </c>
      <c r="DF13" s="37" t="n"/>
      <c r="DH13" s="37" t="inlineStr">
        <is>
          <t>COMBINED</t>
        </is>
      </c>
      <c r="DI13" s="37" t="n"/>
      <c r="DK13" s="37" t="inlineStr">
        <is>
          <t>COMBINED</t>
        </is>
      </c>
      <c r="DL13" s="37" t="n"/>
      <c r="DN13" s="37" t="inlineStr">
        <is>
          <t>COMBINED</t>
        </is>
      </c>
      <c r="DO13" s="37" t="n"/>
      <c r="DQ13" s="37" t="inlineStr">
        <is>
          <t>COMBINED</t>
        </is>
      </c>
      <c r="DR13" s="37" t="n"/>
      <c r="DT13" s="37" t="inlineStr">
        <is>
          <t>COMBINED</t>
        </is>
      </c>
      <c r="DU13" s="37" t="n"/>
      <c r="DW13" s="37" t="inlineStr">
        <is>
          <t>COMBINED</t>
        </is>
      </c>
      <c r="DX13" s="37" t="n"/>
      <c r="DZ13" s="37" t="inlineStr">
        <is>
          <t>COMBINED</t>
        </is>
      </c>
      <c r="EA13" s="37" t="n"/>
      <c r="EC13" s="37" t="inlineStr">
        <is>
          <t>COMBINED</t>
        </is>
      </c>
      <c r="ED13" s="37" t="n"/>
      <c r="EF13" s="37" t="inlineStr">
        <is>
          <t>COMBINED</t>
        </is>
      </c>
      <c r="EG13" s="37" t="n"/>
      <c r="EI13" s="37" t="inlineStr">
        <is>
          <t>COMBINED</t>
        </is>
      </c>
      <c r="EJ13" s="37" t="n"/>
      <c r="EL13" s="37" t="inlineStr">
        <is>
          <t>COMBINED</t>
        </is>
      </c>
      <c r="EM13" s="37" t="n"/>
      <c r="EO13" s="37" t="inlineStr">
        <is>
          <t>COMBINED</t>
        </is>
      </c>
      <c r="EP13" s="37" t="n"/>
      <c r="ER13" s="37" t="inlineStr">
        <is>
          <t>COMBINED</t>
        </is>
      </c>
      <c r="ES13" s="37" t="n"/>
      <c r="EU13" s="37" t="inlineStr">
        <is>
          <t>COMBINED</t>
        </is>
      </c>
      <c r="EV13" s="37" t="n"/>
      <c r="EX13" s="37" t="inlineStr">
        <is>
          <t>COMBINED</t>
        </is>
      </c>
      <c r="EY13" s="37" t="n"/>
      <c r="FA13" s="37" t="inlineStr">
        <is>
          <t>COMBINED</t>
        </is>
      </c>
      <c r="FB13" s="37" t="n"/>
      <c r="FD13" s="37" t="inlineStr">
        <is>
          <t>COMBINED</t>
        </is>
      </c>
      <c r="FE13" s="37" t="n"/>
      <c r="FG13" s="37" t="inlineStr">
        <is>
          <t>COMBINED</t>
        </is>
      </c>
      <c r="FH13" s="37" t="n"/>
      <c r="FJ13" s="37" t="inlineStr">
        <is>
          <t>COMBINED</t>
        </is>
      </c>
      <c r="FK13" s="37" t="n"/>
      <c r="FM13" s="37" t="inlineStr">
        <is>
          <t>COMBINED</t>
        </is>
      </c>
      <c r="FN13" s="37" t="n"/>
      <c r="FP13" s="37" t="inlineStr">
        <is>
          <t>COMBINED</t>
        </is>
      </c>
      <c r="FQ13" s="37" t="n"/>
      <c r="FS13" s="37" t="inlineStr">
        <is>
          <t>COMBINED</t>
        </is>
      </c>
      <c r="FT13" s="37" t="n"/>
      <c r="FV13" s="37" t="inlineStr">
        <is>
          <t>COMBINED</t>
        </is>
      </c>
      <c r="FW13" s="37" t="n"/>
      <c r="FY13" s="37" t="inlineStr">
        <is>
          <t>COMBINED</t>
        </is>
      </c>
      <c r="FZ13" s="37" t="n"/>
      <c r="GB13" s="37" t="inlineStr">
        <is>
          <t>COMBINED</t>
        </is>
      </c>
      <c r="GC13" s="37" t="n"/>
      <c r="GE13" s="37" t="inlineStr">
        <is>
          <t>COMBINED</t>
        </is>
      </c>
      <c r="GF13" s="37" t="n"/>
      <c r="GH13" s="37" t="inlineStr">
        <is>
          <t>COMBINED</t>
        </is>
      </c>
      <c r="GI13" s="37" t="n"/>
      <c r="GK13" s="37" t="inlineStr">
        <is>
          <t>COMBINED</t>
        </is>
      </c>
      <c r="GL13" s="37" t="n"/>
      <c r="GN13" s="37" t="inlineStr">
        <is>
          <t>COMBINED</t>
        </is>
      </c>
      <c r="GO13" s="37" t="n"/>
      <c r="GQ13" s="37" t="inlineStr">
        <is>
          <t>COMBINED</t>
        </is>
      </c>
      <c r="GR13" s="37" t="n"/>
      <c r="GT13" s="37" t="inlineStr">
        <is>
          <t>COMBINED</t>
        </is>
      </c>
      <c r="GU13" s="37" t="n"/>
      <c r="GW13" s="37" t="inlineStr">
        <is>
          <t>COMBINED</t>
        </is>
      </c>
      <c r="GX13" s="37" t="n"/>
      <c r="GZ13" s="37" t="inlineStr">
        <is>
          <t>COMBINED</t>
        </is>
      </c>
      <c r="HA13" s="37" t="n"/>
      <c r="HC13" s="37" t="inlineStr">
        <is>
          <t>COMBINED</t>
        </is>
      </c>
      <c r="HD13" s="37" t="n"/>
      <c r="HF13" s="37" t="inlineStr">
        <is>
          <t>COMBINED</t>
        </is>
      </c>
      <c r="HG13" s="37" t="n"/>
      <c r="HI13" s="37" t="inlineStr">
        <is>
          <t>COMBINED</t>
        </is>
      </c>
      <c r="HJ13" s="37" t="n"/>
      <c r="HL13" s="37" t="inlineStr">
        <is>
          <t>COMBINED</t>
        </is>
      </c>
      <c r="HM13" s="37" t="n"/>
      <c r="HO13" s="37" t="inlineStr">
        <is>
          <t>COMBINED</t>
        </is>
      </c>
      <c r="HP13" s="37" t="n"/>
      <c r="HR13" s="37" t="inlineStr">
        <is>
          <t>COMBINED</t>
        </is>
      </c>
      <c r="HS13" s="37" t="n"/>
      <c r="HU13" s="37" t="inlineStr">
        <is>
          <t>COMBINED</t>
        </is>
      </c>
      <c r="HV13" s="37" t="n"/>
      <c r="HX13" s="37" t="inlineStr">
        <is>
          <t>COMBINED</t>
        </is>
      </c>
      <c r="HY13" s="37" t="n"/>
      <c r="IA13" s="37" t="inlineStr">
        <is>
          <t>COMBINED</t>
        </is>
      </c>
      <c r="IB13" s="37" t="n"/>
      <c r="ID13" s="37" t="inlineStr">
        <is>
          <t>COMBINED</t>
        </is>
      </c>
      <c r="IE13" s="37" t="n"/>
      <c r="IG13" s="37" t="inlineStr">
        <is>
          <t>COMBINED</t>
        </is>
      </c>
      <c r="IH13" s="37" t="n"/>
      <c r="IJ13" s="37" t="inlineStr">
        <is>
          <t>COMBINED</t>
        </is>
      </c>
      <c r="IK13" s="37" t="n"/>
      <c r="IM13" s="37" t="inlineStr">
        <is>
          <t>COMBINED</t>
        </is>
      </c>
      <c r="IN13" s="37" t="n"/>
      <c r="IP13" s="37" t="inlineStr">
        <is>
          <t>COMBINED</t>
        </is>
      </c>
      <c r="IQ13" s="37" t="n"/>
      <c r="IS13" s="37" t="inlineStr">
        <is>
          <t>COMBINED</t>
        </is>
      </c>
      <c r="IT13" s="37" t="n"/>
      <c r="IV13" s="37" t="inlineStr">
        <is>
          <t>COMBINED</t>
        </is>
      </c>
      <c r="IW13" s="37" t="n"/>
      <c r="IY13" s="37" t="inlineStr">
        <is>
          <t>COMBINED</t>
        </is>
      </c>
      <c r="IZ13" s="37" t="n"/>
      <c r="JB13" s="37" t="inlineStr">
        <is>
          <t>COMBINED</t>
        </is>
      </c>
      <c r="JC13" s="37" t="n"/>
      <c r="JE13" s="37" t="inlineStr">
        <is>
          <t>COMBINED</t>
        </is>
      </c>
      <c r="JF13" s="37" t="n"/>
      <c r="JH13" s="37" t="inlineStr">
        <is>
          <t>COMBINED</t>
        </is>
      </c>
      <c r="JI13" s="37" t="n"/>
      <c r="JK13" s="37" t="inlineStr">
        <is>
          <t>COMBINED</t>
        </is>
      </c>
      <c r="JL13" s="37" t="n"/>
      <c r="JN13" s="37" t="inlineStr">
        <is>
          <t>COMBINED</t>
        </is>
      </c>
      <c r="JO13" s="37" t="n"/>
      <c r="JQ13" s="37" t="inlineStr">
        <is>
          <t>COMBINED</t>
        </is>
      </c>
      <c r="JR13" s="37" t="n"/>
      <c r="JT13" s="37" t="inlineStr">
        <is>
          <t>COMBINED</t>
        </is>
      </c>
      <c r="JU13" s="37" t="n"/>
      <c r="JW13" s="37" t="inlineStr">
        <is>
          <t>COMBINED</t>
        </is>
      </c>
      <c r="JX13" s="37" t="n"/>
      <c r="JZ13" s="37" t="inlineStr">
        <is>
          <t>COMBINED</t>
        </is>
      </c>
      <c r="KA13" s="37" t="n"/>
      <c r="KC13" s="37" t="inlineStr">
        <is>
          <t>COMBINED</t>
        </is>
      </c>
      <c r="KD13" s="37" t="n"/>
      <c r="KF13" s="37" t="inlineStr">
        <is>
          <t>COMBINED</t>
        </is>
      </c>
      <c r="KG13" s="37" t="n"/>
      <c r="KI13" s="37" t="inlineStr">
        <is>
          <t>COMBINED</t>
        </is>
      </c>
      <c r="KJ13" s="37" t="n"/>
      <c r="KL13" s="37" t="inlineStr">
        <is>
          <t>COMBINED</t>
        </is>
      </c>
      <c r="KM13" s="37" t="n"/>
      <c r="KO13" s="37" t="inlineStr">
        <is>
          <t>COMBINED</t>
        </is>
      </c>
      <c r="KP13" s="37" t="n"/>
      <c r="KR13" s="37" t="inlineStr">
        <is>
          <t>COMBINED</t>
        </is>
      </c>
      <c r="KS13" s="37" t="n"/>
      <c r="KU13" s="37" t="inlineStr">
        <is>
          <t>COMBINED</t>
        </is>
      </c>
      <c r="KV13" s="37" t="n"/>
      <c r="KX13" s="37" t="inlineStr">
        <is>
          <t>COMBINED</t>
        </is>
      </c>
      <c r="KY13" s="37" t="n"/>
      <c r="LA13" s="37" t="inlineStr">
        <is>
          <t>COMBINED</t>
        </is>
      </c>
      <c r="LB13" s="37" t="n"/>
    </row>
    <row r="14">
      <c r="A14" s="34">
        <f>SUM(A6+A11)</f>
        <v/>
      </c>
      <c r="B14" s="35" t="inlineStr">
        <is>
          <t>TOTAL OPEN IN BOTH PLANTS</t>
        </is>
      </c>
      <c r="D14" s="34">
        <f>SUM(D6+D11)</f>
        <v/>
      </c>
      <c r="E14" s="35" t="inlineStr">
        <is>
          <t>TOTAL OPEN IN BOTH PLANTS</t>
        </is>
      </c>
      <c r="G14" s="34">
        <f>SUM(G6+G11)</f>
        <v/>
      </c>
      <c r="H14" s="35" t="inlineStr">
        <is>
          <t>TOTAL OPEN IN BOTH PLANTS</t>
        </is>
      </c>
      <c r="J14" s="34">
        <f>SUM(J6+J11)</f>
        <v/>
      </c>
      <c r="K14" s="35" t="inlineStr">
        <is>
          <t>TOTAL OPEN IN BOTH PLANTS</t>
        </is>
      </c>
      <c r="M14" s="34">
        <f>SUM(M6+M11)</f>
        <v/>
      </c>
      <c r="N14" s="35" t="inlineStr">
        <is>
          <t>TOTAL OPEN IN BOTH PLANTS</t>
        </is>
      </c>
      <c r="P14" s="34">
        <f>SUM(P6+P11)</f>
        <v/>
      </c>
      <c r="Q14" s="35" t="inlineStr">
        <is>
          <t>TOTAL OPEN IN BOTH PLANTS</t>
        </is>
      </c>
      <c r="S14" s="34">
        <f>SUM(S6+S11)</f>
        <v/>
      </c>
      <c r="T14" s="35" t="inlineStr">
        <is>
          <t>TOTAL OPEN IN BOTH PLANTS</t>
        </is>
      </c>
      <c r="V14" s="34">
        <f>SUM(V6+V11)</f>
        <v/>
      </c>
      <c r="W14" s="35" t="inlineStr">
        <is>
          <t>TOTAL OPEN IN BOTH PLANTS</t>
        </is>
      </c>
      <c r="Y14" s="34">
        <f>SUM(Y6+Y11)</f>
        <v/>
      </c>
      <c r="Z14" s="35" t="inlineStr">
        <is>
          <t>TOTAL OPEN IN BOTH PLANTS</t>
        </is>
      </c>
      <c r="AB14" s="34">
        <f>SUM(AB6+AB11)</f>
        <v/>
      </c>
      <c r="AC14" s="35" t="inlineStr">
        <is>
          <t>TOTAL OPEN IN BOTH PLANTS</t>
        </is>
      </c>
      <c r="AE14" s="34">
        <f>SUM(AE6+AE11)</f>
        <v/>
      </c>
      <c r="AF14" s="35" t="inlineStr">
        <is>
          <t>TOTAL OPEN IN BOTH PLANTS</t>
        </is>
      </c>
      <c r="AH14" s="34">
        <f>SUM(AH6+AH11)</f>
        <v/>
      </c>
      <c r="AI14" s="35" t="inlineStr">
        <is>
          <t>TOTAL OPEN IN BOTH PLANTS</t>
        </is>
      </c>
      <c r="AK14" s="34">
        <f>SUM(AK6+AK11)</f>
        <v/>
      </c>
      <c r="AL14" s="35" t="inlineStr">
        <is>
          <t>TOTAL OPEN IN BOTH PLANTS</t>
        </is>
      </c>
      <c r="AN14" s="34">
        <f>SUM(AN6+AN11)</f>
        <v/>
      </c>
      <c r="AO14" s="35" t="inlineStr">
        <is>
          <t>TOTAL OPEN IN BOTH PLANTS</t>
        </is>
      </c>
      <c r="AQ14" s="34">
        <f>SUM(AQ6+AQ11)</f>
        <v/>
      </c>
      <c r="AR14" s="35" t="inlineStr">
        <is>
          <t>TOTAL OPEN IN BOTH PLANTS</t>
        </is>
      </c>
      <c r="AT14" s="34">
        <f>SUM(AT6+AT11)</f>
        <v/>
      </c>
      <c r="AU14" s="35" t="inlineStr">
        <is>
          <t>TOTAL OPEN IN BOTH PLANTS</t>
        </is>
      </c>
      <c r="AW14" s="34">
        <f>SUM(AW6+AW11)</f>
        <v/>
      </c>
      <c r="AX14" s="35" t="inlineStr">
        <is>
          <t>TOTAL OPEN IN BOTH PLANTS</t>
        </is>
      </c>
      <c r="AZ14" s="34">
        <f>SUM(AZ6+AZ11)</f>
        <v/>
      </c>
      <c r="BA14" s="35" t="inlineStr">
        <is>
          <t>TOTAL OPEN IN BOTH PLANTS</t>
        </is>
      </c>
      <c r="BC14" s="34">
        <f>SUM(BC6+BC11)</f>
        <v/>
      </c>
      <c r="BD14" s="35" t="inlineStr">
        <is>
          <t>TOTAL OPEN IN BOTH PLANTS</t>
        </is>
      </c>
      <c r="BF14" s="34">
        <f>SUM(BF6+BF11)</f>
        <v/>
      </c>
      <c r="BG14" s="35" t="inlineStr">
        <is>
          <t>TOTAL OPEN IN BOTH PLANTS</t>
        </is>
      </c>
      <c r="BI14" s="34">
        <f>SUM(BI6+BI11)</f>
        <v/>
      </c>
      <c r="BJ14" s="35" t="inlineStr">
        <is>
          <t>TOTAL OPEN IN BOTH PLANTS</t>
        </is>
      </c>
      <c r="BL14" s="34">
        <f>SUM(BL6+BL11)</f>
        <v/>
      </c>
      <c r="BM14" s="35" t="inlineStr">
        <is>
          <t>TOTAL OPEN IN BOTH PLANTS</t>
        </is>
      </c>
      <c r="BO14" s="34">
        <f>SUM(BO6+BO11)</f>
        <v/>
      </c>
      <c r="BP14" s="35" t="inlineStr">
        <is>
          <t>TOTAL OPEN IN BOTH PLANTS</t>
        </is>
      </c>
      <c r="BR14" s="34">
        <f>SUM(BR6+BR11)</f>
        <v/>
      </c>
      <c r="BS14" s="35" t="inlineStr">
        <is>
          <t>TOTAL OPEN IN BOTH PLANTS</t>
        </is>
      </c>
      <c r="BU14" s="34">
        <f>SUM(BU6+BU11)</f>
        <v/>
      </c>
      <c r="BV14" s="35" t="inlineStr">
        <is>
          <t>TOTAL OPEN IN BOTH PLANTS</t>
        </is>
      </c>
      <c r="BX14" s="34">
        <f>SUM(BX6+BX11)</f>
        <v/>
      </c>
      <c r="BY14" s="35" t="inlineStr">
        <is>
          <t>TOTAL OPEN IN BOTH PLANTS</t>
        </is>
      </c>
      <c r="CA14" s="34">
        <f>SUM(CA6+CA11)</f>
        <v/>
      </c>
      <c r="CB14" s="35" t="inlineStr">
        <is>
          <t>TOTAL OPEN IN BOTH PLANTS</t>
        </is>
      </c>
      <c r="CD14" s="34">
        <f>SUM(CD6+CD11)</f>
        <v/>
      </c>
      <c r="CE14" s="35" t="inlineStr">
        <is>
          <t>TOTAL OPEN IN BOTH PLANTS</t>
        </is>
      </c>
      <c r="CG14" s="34">
        <f>SUM(CG6+CG11)</f>
        <v/>
      </c>
      <c r="CH14" s="35" t="inlineStr">
        <is>
          <t>TOTAL OPEN IN BOTH PLANTS</t>
        </is>
      </c>
      <c r="CJ14" s="34">
        <f>SUM(CJ6+CJ11)</f>
        <v/>
      </c>
      <c r="CK14" s="35" t="inlineStr">
        <is>
          <t>TOTAL OPEN IN BOTH PLANTS</t>
        </is>
      </c>
      <c r="CM14" s="34">
        <f>SUM(CM6+CM11)</f>
        <v/>
      </c>
      <c r="CN14" s="35" t="inlineStr">
        <is>
          <t>TOTAL OPEN IN BOTH PLANTS</t>
        </is>
      </c>
      <c r="CP14" s="34">
        <f>SUM(CP6+CP11)</f>
        <v/>
      </c>
      <c r="CQ14" s="35" t="inlineStr">
        <is>
          <t>TOTAL OPEN IN BOTH PLANTS</t>
        </is>
      </c>
      <c r="CS14" s="34">
        <f>SUM(CS6+CS11)</f>
        <v/>
      </c>
      <c r="CT14" s="35" t="inlineStr">
        <is>
          <t>TOTAL OPEN IN BOTH PLANTS</t>
        </is>
      </c>
      <c r="CV14" s="34">
        <f>SUM(CV6+CV11)</f>
        <v/>
      </c>
      <c r="CW14" s="35" t="inlineStr">
        <is>
          <t>TOTAL OPEN IN BOTH PLANTS</t>
        </is>
      </c>
      <c r="CY14" s="34">
        <f>SUM(CY6+CY11)</f>
        <v/>
      </c>
      <c r="CZ14" s="35" t="inlineStr">
        <is>
          <t>TOTAL OPEN IN BOTH PLANTS</t>
        </is>
      </c>
      <c r="DB14" s="34">
        <f>SUM(DB6+DB11)</f>
        <v/>
      </c>
      <c r="DC14" s="35" t="inlineStr">
        <is>
          <t>TOTAL OPEN IN BOTH PLANTS</t>
        </is>
      </c>
      <c r="DE14" s="34">
        <f>SUM(DE6+DE11)</f>
        <v/>
      </c>
      <c r="DF14" s="35" t="inlineStr">
        <is>
          <t>TOTAL OPEN IN BOTH PLANTS</t>
        </is>
      </c>
      <c r="DH14" s="34">
        <f>SUM(DH6+DH11)</f>
        <v/>
      </c>
      <c r="DI14" s="35" t="inlineStr">
        <is>
          <t>TOTAL OPEN IN BOTH PLANTS</t>
        </is>
      </c>
      <c r="DK14" s="34">
        <f>SUM(DK6+DK11)</f>
        <v/>
      </c>
      <c r="DL14" s="35" t="inlineStr">
        <is>
          <t>TOTAL OPEN IN BOTH PLANTS</t>
        </is>
      </c>
      <c r="DN14" s="34">
        <f>SUM(DN6+DN11)</f>
        <v/>
      </c>
      <c r="DO14" s="35" t="inlineStr">
        <is>
          <t>TOTAL OPEN IN BOTH PLANTS</t>
        </is>
      </c>
      <c r="DQ14" s="34">
        <f>SUM(DQ6+DQ11)</f>
        <v/>
      </c>
      <c r="DR14" s="35" t="inlineStr">
        <is>
          <t>TOTAL OPEN IN BOTH PLANTS</t>
        </is>
      </c>
      <c r="DT14" s="34">
        <f>SUM(DT6+DT11)</f>
        <v/>
      </c>
      <c r="DU14" s="35" t="inlineStr">
        <is>
          <t>TOTAL OPEN IN BOTH PLANTS</t>
        </is>
      </c>
      <c r="DW14" s="34">
        <f>SUM(DW6+DW11)</f>
        <v/>
      </c>
      <c r="DX14" s="35" t="inlineStr">
        <is>
          <t>TOTAL OPEN IN BOTH PLANTS</t>
        </is>
      </c>
      <c r="DZ14" s="34">
        <f>SUM(DZ6+DZ11)</f>
        <v/>
      </c>
      <c r="EA14" s="35" t="inlineStr">
        <is>
          <t>TOTAL OPEN IN BOTH PLANTS</t>
        </is>
      </c>
      <c r="EC14" s="34">
        <f>SUM(EC6+EC11)</f>
        <v/>
      </c>
      <c r="ED14" s="35" t="inlineStr">
        <is>
          <t>TOTAL OPEN IN BOTH PLANTS</t>
        </is>
      </c>
      <c r="EF14" s="34">
        <f>SUM(EF6+EF11)</f>
        <v/>
      </c>
      <c r="EG14" s="35" t="inlineStr">
        <is>
          <t>TOTAL OPEN IN BOTH PLANTS</t>
        </is>
      </c>
      <c r="EI14" s="34">
        <f>SUM(EI6+EI11)</f>
        <v/>
      </c>
      <c r="EJ14" s="35" t="inlineStr">
        <is>
          <t>TOTAL OPEN IN BOTH PLANTS</t>
        </is>
      </c>
      <c r="EL14" s="34">
        <f>SUM(EL6+EL11)</f>
        <v/>
      </c>
      <c r="EM14" s="35" t="inlineStr">
        <is>
          <t>TOTAL OPEN IN BOTH PLANTS</t>
        </is>
      </c>
      <c r="EO14" s="34">
        <f>SUM(EO6+EO11)</f>
        <v/>
      </c>
      <c r="EP14" s="35" t="inlineStr">
        <is>
          <t>TOTAL OPEN IN BOTH PLANTS</t>
        </is>
      </c>
      <c r="ER14" s="34">
        <f>SUM(ER6+ER11)</f>
        <v/>
      </c>
      <c r="ES14" s="35" t="inlineStr">
        <is>
          <t>TOTAL OPEN IN BOTH PLANTS</t>
        </is>
      </c>
      <c r="EU14" s="34">
        <f>SUM(EU6+EU11)</f>
        <v/>
      </c>
      <c r="EV14" s="35" t="inlineStr">
        <is>
          <t>TOTAL OPEN IN BOTH PLANTS</t>
        </is>
      </c>
      <c r="EX14" s="34">
        <f>SUM(EX6+EX11)</f>
        <v/>
      </c>
      <c r="EY14" s="35" t="inlineStr">
        <is>
          <t>TOTAL OPEN IN BOTH PLANTS</t>
        </is>
      </c>
      <c r="FA14" s="34">
        <f>SUM(FA6+FA11)</f>
        <v/>
      </c>
      <c r="FB14" s="35" t="inlineStr">
        <is>
          <t>TOTAL OPEN IN BOTH PLANTS</t>
        </is>
      </c>
      <c r="FD14" s="34">
        <f>SUM(FD6+FD11)</f>
        <v/>
      </c>
      <c r="FE14" s="35" t="inlineStr">
        <is>
          <t>TOTAL OPEN IN BOTH PLANTS</t>
        </is>
      </c>
      <c r="FG14" s="34">
        <f>SUM(FG6+FG11)</f>
        <v/>
      </c>
      <c r="FH14" s="35" t="inlineStr">
        <is>
          <t>TOTAL OPEN IN BOTH PLANTS</t>
        </is>
      </c>
      <c r="FJ14" s="34">
        <f>SUM(FJ6+FJ11)</f>
        <v/>
      </c>
      <c r="FK14" s="35" t="inlineStr">
        <is>
          <t>TOTAL OPEN IN BOTH PLANTS</t>
        </is>
      </c>
      <c r="FM14" s="34">
        <f>SUM(FM6+FM11)</f>
        <v/>
      </c>
      <c r="FN14" s="35" t="inlineStr">
        <is>
          <t>TOTAL OPEN IN BOTH PLANTS</t>
        </is>
      </c>
      <c r="FP14" s="34">
        <f>SUM(FP6+FP11)</f>
        <v/>
      </c>
      <c r="FQ14" s="35" t="inlineStr">
        <is>
          <t>TOTAL OPEN IN BOTH PLANTS</t>
        </is>
      </c>
      <c r="FS14" s="34">
        <f>SUM(FS6+FS11)</f>
        <v/>
      </c>
      <c r="FT14" s="35" t="inlineStr">
        <is>
          <t>TOTAL OPEN IN BOTH PLANTS</t>
        </is>
      </c>
      <c r="FV14" s="34">
        <f>SUM(FV6+FV11)</f>
        <v/>
      </c>
      <c r="FW14" s="35" t="inlineStr">
        <is>
          <t>TOTAL OPEN IN BOTH PLANTS</t>
        </is>
      </c>
      <c r="FY14" s="34">
        <f>SUM(FY6+FY11)</f>
        <v/>
      </c>
      <c r="FZ14" s="35" t="inlineStr">
        <is>
          <t>TOTAL OPEN IN BOTH PLANTS</t>
        </is>
      </c>
      <c r="GB14" s="34">
        <f>SUM(GB6+GB11)</f>
        <v/>
      </c>
      <c r="GC14" s="35" t="inlineStr">
        <is>
          <t>TOTAL OPEN IN BOTH PLANTS</t>
        </is>
      </c>
      <c r="GE14" s="34">
        <f>SUM(GE6+GE11)</f>
        <v/>
      </c>
      <c r="GF14" s="35" t="inlineStr">
        <is>
          <t>TOTAL OPEN IN BOTH PLANTS</t>
        </is>
      </c>
      <c r="GH14" s="34">
        <f>SUM(GH6+GH11)</f>
        <v/>
      </c>
      <c r="GI14" s="35" t="inlineStr">
        <is>
          <t>TOTAL OPEN IN BOTH PLANTS</t>
        </is>
      </c>
      <c r="GK14" s="34">
        <f>SUM(GK6+GK11)</f>
        <v/>
      </c>
      <c r="GL14" s="35" t="inlineStr">
        <is>
          <t>TOTAL OPEN IN BOTH PLANTS</t>
        </is>
      </c>
      <c r="GN14" s="34">
        <f>SUM(GN6+GN11)</f>
        <v/>
      </c>
      <c r="GO14" s="35" t="inlineStr">
        <is>
          <t>TOTAL OPEN IN BOTH PLANTS</t>
        </is>
      </c>
      <c r="GQ14" s="34">
        <f>SUM(GQ6+GQ11)</f>
        <v/>
      </c>
      <c r="GR14" s="35" t="inlineStr">
        <is>
          <t>TOTAL OPEN IN BOTH PLANTS</t>
        </is>
      </c>
      <c r="GT14" s="34">
        <f>SUM(GT6+GT11)</f>
        <v/>
      </c>
      <c r="GU14" s="35" t="inlineStr">
        <is>
          <t>TOTAL OPEN IN BOTH PLANTS</t>
        </is>
      </c>
      <c r="GW14" s="34">
        <f>SUM(GW6+GW11)</f>
        <v/>
      </c>
      <c r="GX14" s="35" t="inlineStr">
        <is>
          <t>TOTAL OPEN IN BOTH PLANTS</t>
        </is>
      </c>
      <c r="GZ14" s="34">
        <f>SUM(GZ6+GZ11)</f>
        <v/>
      </c>
      <c r="HA14" s="35" t="inlineStr">
        <is>
          <t>TOTAL OPEN IN BOTH PLANTS</t>
        </is>
      </c>
      <c r="HC14" s="34">
        <f>SUM(HC6+HC11)</f>
        <v/>
      </c>
      <c r="HD14" s="35" t="inlineStr">
        <is>
          <t>TOTAL OPEN IN BOTH PLANTS</t>
        </is>
      </c>
      <c r="HF14" s="34">
        <f>SUM(HF6+HF11)</f>
        <v/>
      </c>
      <c r="HG14" s="35" t="inlineStr">
        <is>
          <t>TOTAL OPEN IN BOTH PLANTS</t>
        </is>
      </c>
      <c r="HI14" s="34">
        <f>SUM(HI6+HI11)</f>
        <v/>
      </c>
      <c r="HJ14" s="35" t="inlineStr">
        <is>
          <t>TOTAL OPEN IN BOTH PLANTS</t>
        </is>
      </c>
      <c r="HL14" s="34">
        <f>SUM(HL6+HL11)</f>
        <v/>
      </c>
      <c r="HM14" s="35" t="inlineStr">
        <is>
          <t>TOTAL OPEN IN BOTH PLANTS</t>
        </is>
      </c>
      <c r="HO14" s="34">
        <f>SUM(HO6+HO11)</f>
        <v/>
      </c>
      <c r="HP14" s="35" t="inlineStr">
        <is>
          <t>TOTAL OPEN IN BOTH PLANTS</t>
        </is>
      </c>
      <c r="HR14" s="34">
        <f>SUM(HR6+HR11)</f>
        <v/>
      </c>
      <c r="HS14" s="35" t="inlineStr">
        <is>
          <t>TOTAL OPEN IN BOTH PLANTS</t>
        </is>
      </c>
      <c r="HU14" s="34">
        <f>SUM(HU6+HU11)</f>
        <v/>
      </c>
      <c r="HV14" s="35" t="inlineStr">
        <is>
          <t>TOTAL OPEN IN BOTH PLANTS</t>
        </is>
      </c>
      <c r="HX14" s="34">
        <f>SUM(HX6+HX11)</f>
        <v/>
      </c>
      <c r="HY14" s="35" t="inlineStr">
        <is>
          <t>TOTAL OPEN IN BOTH PLANTS</t>
        </is>
      </c>
      <c r="IA14" s="34">
        <f>SUM(IA6+IA11)</f>
        <v/>
      </c>
      <c r="IB14" s="35" t="inlineStr">
        <is>
          <t>TOTAL OPEN IN BOTH PLANTS</t>
        </is>
      </c>
      <c r="ID14" s="34">
        <f>SUM(ID6+ID11)</f>
        <v/>
      </c>
      <c r="IE14" s="35" t="inlineStr">
        <is>
          <t>TOTAL OPEN IN BOTH PLANTS</t>
        </is>
      </c>
      <c r="IG14" s="34">
        <f>SUM(IG6+IG11)</f>
        <v/>
      </c>
      <c r="IH14" s="35" t="inlineStr">
        <is>
          <t>TOTAL OPEN IN BOTH PLANTS</t>
        </is>
      </c>
      <c r="IJ14" s="34">
        <f>SUM(IJ6+IJ11)</f>
        <v/>
      </c>
      <c r="IK14" s="35" t="inlineStr">
        <is>
          <t>TOTAL OPEN IN BOTH PLANTS</t>
        </is>
      </c>
      <c r="IM14" s="34">
        <f>SUM(IM6+IM11)</f>
        <v/>
      </c>
      <c r="IN14" s="35" t="inlineStr">
        <is>
          <t>TOTAL OPEN IN BOTH PLANTS</t>
        </is>
      </c>
      <c r="IP14" s="34">
        <f>SUM(IP6+IP11)</f>
        <v/>
      </c>
      <c r="IQ14" s="35" t="inlineStr">
        <is>
          <t>TOTAL OPEN IN BOTH PLANTS</t>
        </is>
      </c>
      <c r="IS14" s="34">
        <f>SUM(IS6+IS11)</f>
        <v/>
      </c>
      <c r="IT14" s="35" t="inlineStr">
        <is>
          <t>TOTAL OPEN IN BOTH PLANTS</t>
        </is>
      </c>
      <c r="IV14" s="34">
        <f>SUM(IV6+IV11)</f>
        <v/>
      </c>
      <c r="IW14" s="35" t="inlineStr">
        <is>
          <t>TOTAL OPEN IN BOTH PLANTS</t>
        </is>
      </c>
      <c r="IY14" s="34">
        <f>SUM(IY6+IY11)</f>
        <v/>
      </c>
      <c r="IZ14" s="35" t="inlineStr">
        <is>
          <t>TOTAL OPEN IN BOTH PLANTS</t>
        </is>
      </c>
      <c r="JB14" s="34">
        <f>SUM(JB6+JB11)</f>
        <v/>
      </c>
      <c r="JC14" s="35" t="inlineStr">
        <is>
          <t>TOTAL OPEN IN BOTH PLANTS</t>
        </is>
      </c>
      <c r="JE14" s="34">
        <f>SUM(JE6+JE11)</f>
        <v/>
      </c>
      <c r="JF14" s="35" t="inlineStr">
        <is>
          <t>TOTAL OPEN IN BOTH PLANTS</t>
        </is>
      </c>
      <c r="JH14" s="34">
        <f>SUM(JH6+JH11)</f>
        <v/>
      </c>
      <c r="JI14" s="35" t="inlineStr">
        <is>
          <t>TOTAL OPEN IN BOTH PLANTS</t>
        </is>
      </c>
      <c r="JK14" s="34">
        <f>SUM(JK6+JK11)</f>
        <v/>
      </c>
      <c r="JL14" s="35" t="inlineStr">
        <is>
          <t>TOTAL OPEN IN BOTH PLANTS</t>
        </is>
      </c>
      <c r="JN14" s="34">
        <f>SUM(JN6+JN11)</f>
        <v/>
      </c>
      <c r="JO14" s="35" t="inlineStr">
        <is>
          <t>TOTAL OPEN IN BOTH PLANTS</t>
        </is>
      </c>
      <c r="JQ14" s="34">
        <f>SUM(JQ6+JQ11)</f>
        <v/>
      </c>
      <c r="JR14" s="35" t="inlineStr">
        <is>
          <t>TOTAL OPEN IN BOTH PLANTS</t>
        </is>
      </c>
      <c r="JT14" s="34">
        <f>SUM(JT6+JT11)</f>
        <v/>
      </c>
      <c r="JU14" s="35" t="inlineStr">
        <is>
          <t>TOTAL OPEN IN BOTH PLANTS</t>
        </is>
      </c>
      <c r="JW14" s="34">
        <f>SUM(JW6+JW11)</f>
        <v/>
      </c>
      <c r="JX14" s="35" t="inlineStr">
        <is>
          <t>TOTAL OPEN IN BOTH PLANTS</t>
        </is>
      </c>
      <c r="JZ14" s="34">
        <f>SUM(JZ6+JZ11)</f>
        <v/>
      </c>
      <c r="KA14" s="35" t="inlineStr">
        <is>
          <t>TOTAL OPEN IN BOTH PLANTS</t>
        </is>
      </c>
      <c r="KC14" s="34">
        <f>SUM(KC6+KC11)</f>
        <v/>
      </c>
      <c r="KD14" s="35" t="inlineStr">
        <is>
          <t>TOTAL OPEN IN BOTH PLANTS</t>
        </is>
      </c>
      <c r="KF14" s="34">
        <f>SUM(KF6+KF11)</f>
        <v/>
      </c>
      <c r="KG14" s="35" t="inlineStr">
        <is>
          <t>TOTAL OPEN IN BOTH PLANTS</t>
        </is>
      </c>
      <c r="KI14" s="34">
        <f>SUM(KI6+KI11)</f>
        <v/>
      </c>
      <c r="KJ14" s="35" t="inlineStr">
        <is>
          <t>TOTAL OPEN IN BOTH PLANTS</t>
        </is>
      </c>
      <c r="KL14" s="34">
        <f>SUM(KL6+KL11)</f>
        <v/>
      </c>
      <c r="KM14" s="35" t="inlineStr">
        <is>
          <t>TOTAL OPEN IN BOTH PLANTS</t>
        </is>
      </c>
      <c r="KO14" s="34">
        <f>SUM(KO6+KO11)</f>
        <v/>
      </c>
      <c r="KP14" s="35" t="inlineStr">
        <is>
          <t>TOTAL OPEN IN BOTH PLANTS</t>
        </is>
      </c>
      <c r="KR14" s="34">
        <f>SUM(KR6+KR11)</f>
        <v/>
      </c>
      <c r="KS14" s="35" t="inlineStr">
        <is>
          <t>TOTAL OPEN IN BOTH PLANTS</t>
        </is>
      </c>
      <c r="KU14" s="34">
        <f>SUM(KU6+KU11)</f>
        <v/>
      </c>
      <c r="KV14" s="35" t="inlineStr">
        <is>
          <t>TOTAL OPEN IN BOTH PLANTS</t>
        </is>
      </c>
      <c r="KX14" s="34">
        <f>SUM(KX6+KX11)</f>
        <v/>
      </c>
      <c r="KY14" s="35" t="inlineStr">
        <is>
          <t>TOTAL OPEN IN BOTH PLANTS</t>
        </is>
      </c>
      <c r="LA14" s="34">
        <f>SUM(LA6+LA11)</f>
        <v/>
      </c>
      <c r="LB14" s="35" t="inlineStr">
        <is>
          <t>TOTAL OPEN IN BOTH PLANTS</t>
        </is>
      </c>
    </row>
    <row r="15">
      <c r="A15" s="28" t="inlineStr">
        <is>
          <t>NOTE</t>
        </is>
      </c>
      <c r="B15" s="38" t="n"/>
      <c r="C15" s="39" t="n"/>
      <c r="D15" s="28" t="inlineStr">
        <is>
          <t>NOTE</t>
        </is>
      </c>
      <c r="E15" s="38" t="n"/>
      <c r="F15" s="39" t="n"/>
      <c r="G15" s="28" t="inlineStr">
        <is>
          <t>NOTE</t>
        </is>
      </c>
      <c r="H15" s="38" t="n"/>
      <c r="I15" s="39" t="n"/>
      <c r="J15" s="28" t="inlineStr">
        <is>
          <t>NOTE</t>
        </is>
      </c>
      <c r="K15" s="38" t="n"/>
      <c r="L15" s="39" t="n"/>
      <c r="M15" s="28" t="inlineStr">
        <is>
          <t>NOTE</t>
        </is>
      </c>
      <c r="N15" s="38" t="n"/>
      <c r="O15" s="39" t="n"/>
      <c r="P15" s="28" t="inlineStr">
        <is>
          <t>NOTE</t>
        </is>
      </c>
      <c r="Q15" s="38" t="n"/>
      <c r="R15" s="39" t="n"/>
      <c r="S15" s="28" t="inlineStr">
        <is>
          <t>NOTE</t>
        </is>
      </c>
      <c r="T15" s="38" t="n"/>
      <c r="U15" s="39" t="n"/>
      <c r="V15" s="28" t="inlineStr">
        <is>
          <t>NOTE</t>
        </is>
      </c>
      <c r="W15" s="38" t="n"/>
      <c r="X15" s="39" t="n"/>
      <c r="Y15" s="28" t="inlineStr">
        <is>
          <t>NOTE</t>
        </is>
      </c>
      <c r="Z15" s="38" t="n"/>
      <c r="AA15" s="39" t="n"/>
      <c r="AB15" s="28" t="inlineStr">
        <is>
          <t>NOTE</t>
        </is>
      </c>
      <c r="AC15" s="38" t="n"/>
      <c r="AD15" s="39" t="n"/>
      <c r="AE15" s="28" t="inlineStr">
        <is>
          <t>NOTE</t>
        </is>
      </c>
      <c r="AF15" s="38" t="n"/>
      <c r="AG15" s="39" t="n"/>
      <c r="AH15" s="28" t="inlineStr">
        <is>
          <t>NOTE</t>
        </is>
      </c>
      <c r="AI15" s="38" t="n"/>
      <c r="AJ15" s="39" t="n"/>
      <c r="AK15" s="28" t="inlineStr">
        <is>
          <t>NOTE</t>
        </is>
      </c>
      <c r="AL15" s="38" t="n"/>
      <c r="AM15" s="39" t="n"/>
      <c r="AN15" s="28" t="inlineStr">
        <is>
          <t>NOTE</t>
        </is>
      </c>
      <c r="AO15" s="38" t="n"/>
      <c r="AP15" s="39" t="n"/>
      <c r="AQ15" s="28" t="inlineStr">
        <is>
          <t>NOTE</t>
        </is>
      </c>
      <c r="AR15" s="38" t="n"/>
      <c r="AS15" s="39" t="n"/>
      <c r="AT15" s="28" t="inlineStr">
        <is>
          <t>NOTE</t>
        </is>
      </c>
      <c r="AU15" s="38" t="n"/>
      <c r="AV15" s="39" t="n"/>
      <c r="AW15" s="28" t="inlineStr">
        <is>
          <t>NOTE</t>
        </is>
      </c>
      <c r="AX15" s="38" t="n"/>
      <c r="AY15" s="39" t="n"/>
      <c r="AZ15" s="28" t="inlineStr">
        <is>
          <t>NOTE</t>
        </is>
      </c>
      <c r="BA15" s="38" t="n"/>
      <c r="BB15" s="39" t="n"/>
      <c r="BC15" s="28" t="inlineStr">
        <is>
          <t>NOTE</t>
        </is>
      </c>
      <c r="BD15" s="38" t="n"/>
      <c r="BE15" s="39" t="n"/>
      <c r="BF15" s="28" t="inlineStr">
        <is>
          <t>NOTE</t>
        </is>
      </c>
      <c r="BG15" s="38" t="n"/>
      <c r="BH15" s="39" t="n"/>
      <c r="BI15" s="28" t="inlineStr">
        <is>
          <t>NOTE</t>
        </is>
      </c>
      <c r="BJ15" s="38" t="n"/>
      <c r="BK15" s="39" t="n"/>
      <c r="BL15" s="28" t="inlineStr">
        <is>
          <t>NOTE</t>
        </is>
      </c>
      <c r="BM15" s="38" t="n"/>
      <c r="BN15" s="39" t="n"/>
      <c r="BO15" s="28" t="inlineStr">
        <is>
          <t>NOTE</t>
        </is>
      </c>
      <c r="BP15" s="38" t="n"/>
      <c r="BQ15" s="39" t="n"/>
      <c r="BR15" s="28" t="inlineStr">
        <is>
          <t>NOTE</t>
        </is>
      </c>
      <c r="BS15" s="38" t="n"/>
      <c r="BT15" s="39" t="n"/>
      <c r="BU15" s="28" t="inlineStr">
        <is>
          <t>NOTE</t>
        </is>
      </c>
      <c r="BV15" s="38" t="n"/>
      <c r="BW15" s="39" t="n"/>
      <c r="BX15" s="28" t="inlineStr">
        <is>
          <t>NOTE</t>
        </is>
      </c>
      <c r="BY15" s="38" t="n"/>
      <c r="BZ15" s="39" t="n"/>
      <c r="CA15" s="28" t="inlineStr">
        <is>
          <t>NOTE</t>
        </is>
      </c>
      <c r="CB15" s="38" t="n"/>
      <c r="CC15" s="39" t="n"/>
      <c r="CD15" s="28" t="inlineStr">
        <is>
          <t>NOTE</t>
        </is>
      </c>
      <c r="CE15" s="38" t="n"/>
      <c r="CF15" s="39" t="n"/>
      <c r="CG15" s="28" t="inlineStr">
        <is>
          <t>NOTE</t>
        </is>
      </c>
      <c r="CH15" s="38" t="n"/>
      <c r="CI15" s="39" t="n"/>
      <c r="CJ15" s="28" t="inlineStr">
        <is>
          <t>NOTE</t>
        </is>
      </c>
      <c r="CK15" s="38" t="n"/>
      <c r="CL15" s="39" t="n"/>
      <c r="CM15" s="28" t="inlineStr">
        <is>
          <t>NOTE</t>
        </is>
      </c>
      <c r="CN15" s="38" t="n"/>
      <c r="CO15" s="39" t="n"/>
      <c r="CP15" s="28" t="inlineStr">
        <is>
          <t>NOTE</t>
        </is>
      </c>
      <c r="CQ15" s="38" t="n"/>
      <c r="CR15" s="39" t="n"/>
      <c r="CS15" s="28" t="inlineStr">
        <is>
          <t>NOTE</t>
        </is>
      </c>
      <c r="CT15" s="38" t="n"/>
      <c r="CU15" s="39" t="n"/>
      <c r="CV15" s="28" t="inlineStr">
        <is>
          <t>NOTE</t>
        </is>
      </c>
      <c r="CW15" s="38" t="n"/>
      <c r="CX15" s="39" t="n"/>
      <c r="CY15" s="28" t="inlineStr">
        <is>
          <t>NOTE</t>
        </is>
      </c>
      <c r="CZ15" s="38" t="n"/>
      <c r="DA15" s="39" t="n"/>
      <c r="DB15" s="28" t="inlineStr">
        <is>
          <t>NOTE</t>
        </is>
      </c>
      <c r="DC15" s="38" t="n"/>
      <c r="DD15" s="39" t="n"/>
      <c r="DE15" s="28" t="inlineStr">
        <is>
          <t>NOTE</t>
        </is>
      </c>
      <c r="DF15" s="38" t="n"/>
      <c r="DG15" s="39" t="n"/>
      <c r="DH15" s="28" t="inlineStr">
        <is>
          <t>NOTE</t>
        </is>
      </c>
      <c r="DI15" s="38" t="n"/>
      <c r="DJ15" s="39" t="n"/>
      <c r="DK15" s="28" t="inlineStr">
        <is>
          <t>NOTE</t>
        </is>
      </c>
      <c r="DL15" s="38" t="n"/>
      <c r="DM15" s="39" t="n"/>
      <c r="DN15" s="28" t="inlineStr">
        <is>
          <t>NOTE</t>
        </is>
      </c>
      <c r="DO15" s="38" t="n"/>
      <c r="DP15" s="39" t="n"/>
      <c r="DQ15" s="28" t="inlineStr">
        <is>
          <t>NOTE</t>
        </is>
      </c>
      <c r="DR15" s="38" t="n"/>
      <c r="DS15" s="39" t="n"/>
      <c r="DT15" s="28" t="inlineStr">
        <is>
          <t>NOTE</t>
        </is>
      </c>
      <c r="DU15" s="38" t="n"/>
      <c r="DV15" s="39" t="n"/>
      <c r="DW15" s="28" t="inlineStr">
        <is>
          <t>NOTE</t>
        </is>
      </c>
      <c r="DX15" s="38" t="n"/>
      <c r="DY15" s="39" t="n"/>
      <c r="DZ15" s="28" t="inlineStr">
        <is>
          <t>NOTE</t>
        </is>
      </c>
      <c r="EA15" s="38" t="n"/>
      <c r="EB15" s="39" t="n"/>
      <c r="EC15" s="28" t="inlineStr">
        <is>
          <t>NOTE</t>
        </is>
      </c>
      <c r="ED15" s="38" t="n"/>
      <c r="EE15" s="39" t="n"/>
      <c r="EF15" s="28" t="inlineStr">
        <is>
          <t>NOTE</t>
        </is>
      </c>
      <c r="EG15" s="38" t="n"/>
      <c r="EH15" s="39" t="n"/>
      <c r="EI15" s="28" t="inlineStr">
        <is>
          <t>NOTE</t>
        </is>
      </c>
      <c r="EJ15" s="38" t="n"/>
      <c r="EK15" s="39" t="n"/>
      <c r="EL15" s="28" t="inlineStr">
        <is>
          <t>NOTE</t>
        </is>
      </c>
      <c r="EM15" s="38" t="n"/>
      <c r="EN15" s="39" t="n"/>
      <c r="EO15" s="28" t="inlineStr">
        <is>
          <t>NOTE</t>
        </is>
      </c>
      <c r="EP15" s="38" t="n"/>
      <c r="EQ15" s="39" t="n"/>
      <c r="ER15" s="28" t="inlineStr">
        <is>
          <t>NOTE</t>
        </is>
      </c>
      <c r="ES15" s="38" t="n"/>
      <c r="ET15" s="39" t="n"/>
      <c r="EU15" s="28" t="inlineStr">
        <is>
          <t>NOTE</t>
        </is>
      </c>
      <c r="EV15" s="38" t="n"/>
      <c r="EW15" s="39" t="n"/>
      <c r="EX15" s="28" t="inlineStr">
        <is>
          <t>NOTE</t>
        </is>
      </c>
      <c r="EY15" s="38" t="n"/>
      <c r="EZ15" s="39" t="n"/>
      <c r="FA15" s="28" t="inlineStr">
        <is>
          <t>NOTE</t>
        </is>
      </c>
      <c r="FB15" s="38" t="n"/>
      <c r="FC15" s="39" t="n"/>
      <c r="FD15" s="28" t="inlineStr">
        <is>
          <t>NOTE</t>
        </is>
      </c>
      <c r="FE15" s="38" t="n"/>
      <c r="FF15" s="39" t="n"/>
      <c r="FG15" s="28" t="inlineStr">
        <is>
          <t>NOTE</t>
        </is>
      </c>
      <c r="FH15" s="38" t="n"/>
      <c r="FI15" s="39" t="n"/>
      <c r="FJ15" s="28" t="inlineStr">
        <is>
          <t>NOTE</t>
        </is>
      </c>
      <c r="FK15" s="38" t="n"/>
      <c r="FL15" s="39" t="n"/>
      <c r="FM15" s="28" t="inlineStr">
        <is>
          <t>NOTE</t>
        </is>
      </c>
      <c r="FN15" s="38" t="n"/>
      <c r="FO15" s="39" t="n"/>
      <c r="FP15" s="28" t="inlineStr">
        <is>
          <t>NOTE</t>
        </is>
      </c>
      <c r="FQ15" s="38" t="n"/>
      <c r="FR15" s="39" t="n"/>
      <c r="FS15" s="28" t="inlineStr">
        <is>
          <t>NOTE</t>
        </is>
      </c>
      <c r="FT15" s="38" t="n"/>
      <c r="FU15" s="39" t="n"/>
      <c r="FV15" s="28" t="inlineStr">
        <is>
          <t>NOTE</t>
        </is>
      </c>
      <c r="FW15" s="38" t="n"/>
      <c r="FX15" s="39" t="n"/>
      <c r="FY15" s="28" t="inlineStr">
        <is>
          <t>NOTE</t>
        </is>
      </c>
      <c r="FZ15" s="38" t="n"/>
      <c r="GA15" s="39" t="n"/>
      <c r="GB15" s="28" t="inlineStr">
        <is>
          <t>NOTE</t>
        </is>
      </c>
      <c r="GC15" s="38" t="n"/>
      <c r="GD15" s="39" t="n"/>
      <c r="GE15" s="28" t="inlineStr">
        <is>
          <t>NOTE</t>
        </is>
      </c>
      <c r="GF15" s="38" t="n"/>
      <c r="GG15" s="39" t="n"/>
      <c r="GH15" s="28" t="inlineStr">
        <is>
          <t>NOTE</t>
        </is>
      </c>
      <c r="GI15" s="38" t="n"/>
      <c r="GJ15" s="39" t="n"/>
      <c r="GK15" s="28" t="inlineStr">
        <is>
          <t>NOTE</t>
        </is>
      </c>
      <c r="GL15" s="38" t="n"/>
      <c r="GM15" s="39" t="n"/>
      <c r="GN15" s="28" t="inlineStr">
        <is>
          <t>NOTE</t>
        </is>
      </c>
      <c r="GO15" s="38" t="n"/>
      <c r="GP15" s="39" t="n"/>
      <c r="GQ15" s="28" t="inlineStr">
        <is>
          <t>NOTE</t>
        </is>
      </c>
      <c r="GR15" s="38" t="n"/>
      <c r="GS15" s="39" t="n"/>
      <c r="GT15" s="28" t="inlineStr">
        <is>
          <t>NOTE</t>
        </is>
      </c>
      <c r="GU15" s="38" t="n"/>
      <c r="GV15" s="39" t="n"/>
      <c r="GW15" s="28" t="inlineStr">
        <is>
          <t>NOTE</t>
        </is>
      </c>
      <c r="GX15" s="38" t="n"/>
      <c r="GY15" s="39" t="n"/>
      <c r="GZ15" s="28" t="inlineStr">
        <is>
          <t>NOTE</t>
        </is>
      </c>
      <c r="HA15" s="38" t="n"/>
      <c r="HB15" s="39" t="n"/>
      <c r="HC15" s="28" t="inlineStr">
        <is>
          <t>NOTE</t>
        </is>
      </c>
      <c r="HD15" s="38" t="n"/>
      <c r="HE15" s="39" t="n"/>
      <c r="HF15" s="28" t="inlineStr">
        <is>
          <t>NOTE</t>
        </is>
      </c>
      <c r="HG15" s="38" t="n"/>
      <c r="HH15" s="39" t="n"/>
      <c r="HI15" s="28" t="inlineStr">
        <is>
          <t>NOTE</t>
        </is>
      </c>
      <c r="HJ15" s="38" t="n"/>
      <c r="HK15" s="39" t="n"/>
      <c r="HL15" s="28" t="inlineStr">
        <is>
          <t>NOTE</t>
        </is>
      </c>
      <c r="HM15" s="38" t="n"/>
      <c r="HN15" s="39" t="n"/>
      <c r="HO15" s="28" t="inlineStr">
        <is>
          <t>NOTE</t>
        </is>
      </c>
      <c r="HP15" s="38" t="n"/>
      <c r="HQ15" s="39" t="n"/>
      <c r="HR15" s="28" t="inlineStr">
        <is>
          <t>NOTE</t>
        </is>
      </c>
      <c r="HS15" s="38" t="n"/>
      <c r="HT15" s="39" t="n"/>
      <c r="HU15" s="28" t="inlineStr">
        <is>
          <t>NOTE</t>
        </is>
      </c>
      <c r="HV15" s="38" t="n"/>
      <c r="HW15" s="39" t="n"/>
      <c r="HX15" s="28" t="inlineStr">
        <is>
          <t>NOTE</t>
        </is>
      </c>
      <c r="HY15" s="38" t="n"/>
      <c r="HZ15" s="39" t="n"/>
      <c r="IA15" s="28" t="inlineStr">
        <is>
          <t>NOTE</t>
        </is>
      </c>
      <c r="IB15" s="38" t="n"/>
      <c r="IC15" s="39" t="n"/>
      <c r="ID15" s="28" t="inlineStr">
        <is>
          <t>NOTE</t>
        </is>
      </c>
      <c r="IE15" s="38" t="n"/>
      <c r="IF15" s="39" t="n"/>
      <c r="IG15" s="28" t="inlineStr">
        <is>
          <t>NOTE</t>
        </is>
      </c>
      <c r="IH15" s="38" t="n"/>
      <c r="II15" s="39" t="n"/>
      <c r="IJ15" s="28" t="inlineStr">
        <is>
          <t>NOTE</t>
        </is>
      </c>
      <c r="IK15" s="38" t="n"/>
      <c r="IL15" s="39" t="n"/>
      <c r="IM15" s="28" t="inlineStr">
        <is>
          <t>NOTE</t>
        </is>
      </c>
      <c r="IN15" s="38" t="n"/>
      <c r="IO15" s="39" t="n"/>
      <c r="IP15" s="28" t="inlineStr">
        <is>
          <t>NOTE</t>
        </is>
      </c>
      <c r="IQ15" s="38" t="n"/>
      <c r="IR15" s="39" t="n"/>
      <c r="IS15" s="28" t="inlineStr">
        <is>
          <t>NOTE</t>
        </is>
      </c>
      <c r="IT15" s="38" t="n"/>
      <c r="IU15" s="39" t="n"/>
      <c r="IV15" s="28" t="inlineStr">
        <is>
          <t>NOTE</t>
        </is>
      </c>
      <c r="IW15" s="38" t="n"/>
      <c r="IX15" s="39" t="n"/>
      <c r="IY15" s="28" t="inlineStr">
        <is>
          <t>NOTE</t>
        </is>
      </c>
      <c r="IZ15" s="38" t="n"/>
      <c r="JA15" s="39" t="n"/>
      <c r="JB15" s="28" t="inlineStr">
        <is>
          <t>NOTE</t>
        </is>
      </c>
      <c r="JC15" s="38" t="n"/>
      <c r="JD15" s="39" t="n"/>
      <c r="JE15" s="28" t="inlineStr">
        <is>
          <t>NOTE</t>
        </is>
      </c>
      <c r="JF15" s="38" t="n"/>
      <c r="JG15" s="39" t="n"/>
      <c r="JH15" s="28" t="inlineStr">
        <is>
          <t>NOTE</t>
        </is>
      </c>
      <c r="JI15" s="38" t="n"/>
      <c r="JJ15" s="39" t="n"/>
      <c r="JK15" s="28" t="inlineStr">
        <is>
          <t>NOTE</t>
        </is>
      </c>
      <c r="JL15" s="38" t="n"/>
      <c r="JM15" s="39" t="n"/>
      <c r="JN15" s="28" t="inlineStr">
        <is>
          <t>NOTE</t>
        </is>
      </c>
      <c r="JO15" s="38" t="n"/>
      <c r="JP15" s="39" t="n"/>
      <c r="JQ15" s="28" t="inlineStr">
        <is>
          <t>NOTE</t>
        </is>
      </c>
      <c r="JR15" s="38" t="n"/>
      <c r="JS15" s="39" t="n"/>
      <c r="JT15" s="28" t="inlineStr">
        <is>
          <t>NOTE</t>
        </is>
      </c>
      <c r="JU15" s="38" t="n"/>
      <c r="JV15" s="39" t="n"/>
      <c r="JW15" s="28" t="inlineStr">
        <is>
          <t>NOTE</t>
        </is>
      </c>
      <c r="JX15" s="38" t="n"/>
      <c r="JY15" s="39" t="n"/>
      <c r="JZ15" s="28" t="inlineStr">
        <is>
          <t>NOTE</t>
        </is>
      </c>
      <c r="KA15" s="38" t="n"/>
      <c r="KB15" s="39" t="n"/>
      <c r="KC15" s="28" t="inlineStr">
        <is>
          <t>NOTE</t>
        </is>
      </c>
      <c r="KD15" s="38" t="n"/>
      <c r="KE15" s="39" t="n"/>
      <c r="KF15" s="28" t="inlineStr">
        <is>
          <t>NOTE</t>
        </is>
      </c>
      <c r="KG15" s="38" t="n"/>
      <c r="KH15" s="39" t="n"/>
      <c r="KI15" s="28" t="inlineStr">
        <is>
          <t>NOTE</t>
        </is>
      </c>
      <c r="KJ15" s="38" t="n"/>
      <c r="KK15" s="39" t="n"/>
      <c r="KL15" s="28" t="inlineStr">
        <is>
          <t>NOTE</t>
        </is>
      </c>
      <c r="KM15" s="38" t="n"/>
      <c r="KN15" s="39" t="n"/>
      <c r="KO15" s="28" t="inlineStr">
        <is>
          <t>NOTE</t>
        </is>
      </c>
      <c r="KP15" s="38" t="n"/>
      <c r="KQ15" s="39" t="n"/>
      <c r="KR15" s="28" t="inlineStr">
        <is>
          <t>NOTE</t>
        </is>
      </c>
      <c r="KS15" s="38" t="n"/>
      <c r="KT15" s="39" t="n"/>
      <c r="KU15" s="28" t="inlineStr">
        <is>
          <t>NOTE</t>
        </is>
      </c>
      <c r="KV15" s="38" t="n"/>
      <c r="KW15" s="39" t="n"/>
      <c r="KX15" s="28" t="inlineStr">
        <is>
          <t>NOTE</t>
        </is>
      </c>
      <c r="KY15" s="38" t="n"/>
      <c r="KZ15" s="39" t="n"/>
      <c r="LA15" s="28" t="inlineStr">
        <is>
          <t>NOTE</t>
        </is>
      </c>
      <c r="LB15" s="38" t="n"/>
      <c r="LC15" s="39" t="n"/>
    </row>
    <row r="17">
      <c r="A17" s="40" t="inlineStr">
        <is>
          <t>HOW TO UPDATE</t>
        </is>
      </c>
    </row>
    <row r="18" ht="30" customHeight="1">
      <c r="A18" s="41" t="inlineStr">
        <is>
          <t>1.  Type this week's four counts into the blue cells of the block whose date matches this week. TOTAL rows and the History tab fill themselves.</t>
        </is>
      </c>
    </row>
    <row r="19" ht="30" customHeight="1">
      <c r="A19" s="41" t="inlineStr">
        <is>
          <t>2.  A block still blank after its date has passed turns yellow, so you can see what you missed.</t>
        </is>
      </c>
    </row>
    <row r="20" ht="30" customHeight="1">
      <c r="A20" s="41" t="inlineStr">
        <is>
          <t>3.  Row 15 of each block is a free-text NOTE. Anything you type there shows up in the Notes column of the weekly log, next to that week.</t>
        </is>
      </c>
    </row>
    <row r="21" ht="30" customHeight="1">
      <c r="A21" s="41" t="inlineStr">
        <is>
          <t>4.  Blocks are pre-built through September 11, 2028. See the Read Me tab to add more.</t>
        </is>
      </c>
    </row>
    <row r="22">
      <c r="A22" s="42">
        <f>HYPERLINK("#Totals!"&amp;ADDRESS(4,$B$33,4),"► Jump to this week's block")</f>
        <v/>
      </c>
    </row>
    <row r="30" hidden="1">
      <c r="A30">
        <f>IF(AND(A$1="DATE",ISNUMBER(B$1),COUNT(A4,A5,A9,A10)=4),1,0)</f>
        <v/>
      </c>
      <c r="B30">
        <f>IF(AND(B$1="DATE",ISNUMBER(C$1),COUNT(B4,B5,B9,B10)=4),1,0)</f>
        <v/>
      </c>
      <c r="C30">
        <f>IF(AND(C$1="DATE",ISNUMBER(D$1),COUNT(C4,C5,C9,C10)=4),1,0)</f>
        <v/>
      </c>
      <c r="D30">
        <f>IF(AND(D$1="DATE",ISNUMBER(E$1),COUNT(D4,D5,D9,D10)=4),1,0)</f>
        <v/>
      </c>
      <c r="E30">
        <f>IF(AND(E$1="DATE",ISNUMBER(F$1),COUNT(E4,E5,E9,E10)=4),1,0)</f>
        <v/>
      </c>
      <c r="F30">
        <f>IF(AND(F$1="DATE",ISNUMBER(G$1),COUNT(F4,F5,F9,F10)=4),1,0)</f>
        <v/>
      </c>
      <c r="G30">
        <f>IF(AND(G$1="DATE",ISNUMBER(H$1),COUNT(G4,G5,G9,G10)=4),1,0)</f>
        <v/>
      </c>
      <c r="H30">
        <f>IF(AND(H$1="DATE",ISNUMBER(I$1),COUNT(H4,H5,H9,H10)=4),1,0)</f>
        <v/>
      </c>
      <c r="I30">
        <f>IF(AND(I$1="DATE",ISNUMBER(J$1),COUNT(I4,I5,I9,I10)=4),1,0)</f>
        <v/>
      </c>
      <c r="J30">
        <f>IF(AND(J$1="DATE",ISNUMBER(K$1),COUNT(J4,J5,J9,J10)=4),1,0)</f>
        <v/>
      </c>
      <c r="K30">
        <f>IF(AND(K$1="DATE",ISNUMBER(L$1),COUNT(K4,K5,K9,K10)=4),1,0)</f>
        <v/>
      </c>
      <c r="L30">
        <f>IF(AND(L$1="DATE",ISNUMBER(M$1),COUNT(L4,L5,L9,L10)=4),1,0)</f>
        <v/>
      </c>
      <c r="M30">
        <f>IF(AND(M$1="DATE",ISNUMBER(N$1),COUNT(M4,M5,M9,M10)=4),1,0)</f>
        <v/>
      </c>
      <c r="N30">
        <f>IF(AND(N$1="DATE",ISNUMBER(O$1),COUNT(N4,N5,N9,N10)=4),1,0)</f>
        <v/>
      </c>
      <c r="O30">
        <f>IF(AND(O$1="DATE",ISNUMBER(P$1),COUNT(O4,O5,O9,O10)=4),1,0)</f>
        <v/>
      </c>
      <c r="P30">
        <f>IF(AND(P$1="DATE",ISNUMBER(Q$1),COUNT(P4,P5,P9,P10)=4),1,0)</f>
        <v/>
      </c>
      <c r="Q30">
        <f>IF(AND(Q$1="DATE",ISNUMBER(R$1),COUNT(Q4,Q5,Q9,Q10)=4),1,0)</f>
        <v/>
      </c>
      <c r="R30">
        <f>IF(AND(R$1="DATE",ISNUMBER(S$1),COUNT(R4,R5,R9,R10)=4),1,0)</f>
        <v/>
      </c>
      <c r="S30">
        <f>IF(AND(S$1="DATE",ISNUMBER(T$1),COUNT(S4,S5,S9,S10)=4),1,0)</f>
        <v/>
      </c>
      <c r="T30">
        <f>IF(AND(T$1="DATE",ISNUMBER(U$1),COUNT(T4,T5,T9,T10)=4),1,0)</f>
        <v/>
      </c>
      <c r="U30">
        <f>IF(AND(U$1="DATE",ISNUMBER(V$1),COUNT(U4,U5,U9,U10)=4),1,0)</f>
        <v/>
      </c>
      <c r="V30">
        <f>IF(AND(V$1="DATE",ISNUMBER(W$1),COUNT(V4,V5,V9,V10)=4),1,0)</f>
        <v/>
      </c>
      <c r="W30">
        <f>IF(AND(W$1="DATE",ISNUMBER(X$1),COUNT(W4,W5,W9,W10)=4),1,0)</f>
        <v/>
      </c>
      <c r="X30">
        <f>IF(AND(X$1="DATE",ISNUMBER(Y$1),COUNT(X4,X5,X9,X10)=4),1,0)</f>
        <v/>
      </c>
      <c r="Y30">
        <f>IF(AND(Y$1="DATE",ISNUMBER(Z$1),COUNT(Y4,Y5,Y9,Y10)=4),1,0)</f>
        <v/>
      </c>
      <c r="Z30">
        <f>IF(AND(Z$1="DATE",ISNUMBER(AA$1),COUNT(Z4,Z5,Z9,Z10)=4),1,0)</f>
        <v/>
      </c>
      <c r="AA30">
        <f>IF(AND(AA$1="DATE",ISNUMBER(AB$1),COUNT(AA4,AA5,AA9,AA10)=4),1,0)</f>
        <v/>
      </c>
      <c r="AB30">
        <f>IF(AND(AB$1="DATE",ISNUMBER(AC$1),COUNT(AB4,AB5,AB9,AB10)=4),1,0)</f>
        <v/>
      </c>
      <c r="AC30">
        <f>IF(AND(AC$1="DATE",ISNUMBER(AD$1),COUNT(AC4,AC5,AC9,AC10)=4),1,0)</f>
        <v/>
      </c>
      <c r="AD30">
        <f>IF(AND(AD$1="DATE",ISNUMBER(AE$1),COUNT(AD4,AD5,AD9,AD10)=4),1,0)</f>
        <v/>
      </c>
      <c r="AE30">
        <f>IF(AND(AE$1="DATE",ISNUMBER(AF$1),COUNT(AE4,AE5,AE9,AE10)=4),1,0)</f>
        <v/>
      </c>
      <c r="AF30">
        <f>IF(AND(AF$1="DATE",ISNUMBER(AG$1),COUNT(AF4,AF5,AF9,AF10)=4),1,0)</f>
        <v/>
      </c>
      <c r="AG30">
        <f>IF(AND(AG$1="DATE",ISNUMBER(AH$1),COUNT(AG4,AG5,AG9,AG10)=4),1,0)</f>
        <v/>
      </c>
      <c r="AH30">
        <f>IF(AND(AH$1="DATE",ISNUMBER(AI$1),COUNT(AH4,AH5,AH9,AH10)=4),1,0)</f>
        <v/>
      </c>
      <c r="AI30">
        <f>IF(AND(AI$1="DATE",ISNUMBER(AJ$1),COUNT(AI4,AI5,AI9,AI10)=4),1,0)</f>
        <v/>
      </c>
      <c r="AJ30">
        <f>IF(AND(AJ$1="DATE",ISNUMBER(AK$1),COUNT(AJ4,AJ5,AJ9,AJ10)=4),1,0)</f>
        <v/>
      </c>
      <c r="AK30">
        <f>IF(AND(AK$1="DATE",ISNUMBER(AL$1),COUNT(AK4,AK5,AK9,AK10)=4),1,0)</f>
        <v/>
      </c>
      <c r="AL30">
        <f>IF(AND(AL$1="DATE",ISNUMBER(AM$1),COUNT(AL4,AL5,AL9,AL10)=4),1,0)</f>
        <v/>
      </c>
      <c r="AM30">
        <f>IF(AND(AM$1="DATE",ISNUMBER(AN$1),COUNT(AM4,AM5,AM9,AM10)=4),1,0)</f>
        <v/>
      </c>
      <c r="AN30">
        <f>IF(AND(AN$1="DATE",ISNUMBER(AO$1),COUNT(AN4,AN5,AN9,AN10)=4),1,0)</f>
        <v/>
      </c>
      <c r="AO30">
        <f>IF(AND(AO$1="DATE",ISNUMBER(AP$1),COUNT(AO4,AO5,AO9,AO10)=4),1,0)</f>
        <v/>
      </c>
      <c r="AP30">
        <f>IF(AND(AP$1="DATE",ISNUMBER(AQ$1),COUNT(AP4,AP5,AP9,AP10)=4),1,0)</f>
        <v/>
      </c>
      <c r="AQ30">
        <f>IF(AND(AQ$1="DATE",ISNUMBER(AR$1),COUNT(AQ4,AQ5,AQ9,AQ10)=4),1,0)</f>
        <v/>
      </c>
      <c r="AR30">
        <f>IF(AND(AR$1="DATE",ISNUMBER(AS$1),COUNT(AR4,AR5,AR9,AR10)=4),1,0)</f>
        <v/>
      </c>
      <c r="AS30">
        <f>IF(AND(AS$1="DATE",ISNUMBER(AT$1),COUNT(AS4,AS5,AS9,AS10)=4),1,0)</f>
        <v/>
      </c>
      <c r="AT30">
        <f>IF(AND(AT$1="DATE",ISNUMBER(AU$1),COUNT(AT4,AT5,AT9,AT10)=4),1,0)</f>
        <v/>
      </c>
      <c r="AU30">
        <f>IF(AND(AU$1="DATE",ISNUMBER(AV$1),COUNT(AU4,AU5,AU9,AU10)=4),1,0)</f>
        <v/>
      </c>
      <c r="AV30">
        <f>IF(AND(AV$1="DATE",ISNUMBER(AW$1),COUNT(AV4,AV5,AV9,AV10)=4),1,0)</f>
        <v/>
      </c>
      <c r="AW30">
        <f>IF(AND(AW$1="DATE",ISNUMBER(AX$1),COUNT(AW4,AW5,AW9,AW10)=4),1,0)</f>
        <v/>
      </c>
      <c r="AX30">
        <f>IF(AND(AX$1="DATE",ISNUMBER(AY$1),COUNT(AX4,AX5,AX9,AX10)=4),1,0)</f>
        <v/>
      </c>
      <c r="AY30">
        <f>IF(AND(AY$1="DATE",ISNUMBER(AZ$1),COUNT(AY4,AY5,AY9,AY10)=4),1,0)</f>
        <v/>
      </c>
      <c r="AZ30">
        <f>IF(AND(AZ$1="DATE",ISNUMBER(BA$1),COUNT(AZ4,AZ5,AZ9,AZ10)=4),1,0)</f>
        <v/>
      </c>
      <c r="BA30">
        <f>IF(AND(BA$1="DATE",ISNUMBER(BB$1),COUNT(BA4,BA5,BA9,BA10)=4),1,0)</f>
        <v/>
      </c>
      <c r="BB30">
        <f>IF(AND(BB$1="DATE",ISNUMBER(BC$1),COUNT(BB4,BB5,BB9,BB10)=4),1,0)</f>
        <v/>
      </c>
      <c r="BC30">
        <f>IF(AND(BC$1="DATE",ISNUMBER(BD$1),COUNT(BC4,BC5,BC9,BC10)=4),1,0)</f>
        <v/>
      </c>
      <c r="BD30">
        <f>IF(AND(BD$1="DATE",ISNUMBER(BE$1),COUNT(BD4,BD5,BD9,BD10)=4),1,0)</f>
        <v/>
      </c>
      <c r="BE30">
        <f>IF(AND(BE$1="DATE",ISNUMBER(BF$1),COUNT(BE4,BE5,BE9,BE10)=4),1,0)</f>
        <v/>
      </c>
      <c r="BF30">
        <f>IF(AND(BF$1="DATE",ISNUMBER(BG$1),COUNT(BF4,BF5,BF9,BF10)=4),1,0)</f>
        <v/>
      </c>
      <c r="BG30">
        <f>IF(AND(BG$1="DATE",ISNUMBER(BH$1),COUNT(BG4,BG5,BG9,BG10)=4),1,0)</f>
        <v/>
      </c>
      <c r="BH30">
        <f>IF(AND(BH$1="DATE",ISNUMBER(BI$1),COUNT(BH4,BH5,BH9,BH10)=4),1,0)</f>
        <v/>
      </c>
      <c r="BI30">
        <f>IF(AND(BI$1="DATE",ISNUMBER(BJ$1),COUNT(BI4,BI5,BI9,BI10)=4),1,0)</f>
        <v/>
      </c>
      <c r="BJ30">
        <f>IF(AND(BJ$1="DATE",ISNUMBER(BK$1),COUNT(BJ4,BJ5,BJ9,BJ10)=4),1,0)</f>
        <v/>
      </c>
      <c r="BK30">
        <f>IF(AND(BK$1="DATE",ISNUMBER(BL$1),COUNT(BK4,BK5,BK9,BK10)=4),1,0)</f>
        <v/>
      </c>
      <c r="BL30">
        <f>IF(AND(BL$1="DATE",ISNUMBER(BM$1),COUNT(BL4,BL5,BL9,BL10)=4),1,0)</f>
        <v/>
      </c>
      <c r="BM30">
        <f>IF(AND(BM$1="DATE",ISNUMBER(BN$1),COUNT(BM4,BM5,BM9,BM10)=4),1,0)</f>
        <v/>
      </c>
      <c r="BN30">
        <f>IF(AND(BN$1="DATE",ISNUMBER(BO$1),COUNT(BN4,BN5,BN9,BN10)=4),1,0)</f>
        <v/>
      </c>
      <c r="BO30">
        <f>IF(AND(BO$1="DATE",ISNUMBER(BP$1),COUNT(BO4,BO5,BO9,BO10)=4),1,0)</f>
        <v/>
      </c>
      <c r="BP30">
        <f>IF(AND(BP$1="DATE",ISNUMBER(BQ$1),COUNT(BP4,BP5,BP9,BP10)=4),1,0)</f>
        <v/>
      </c>
      <c r="BQ30">
        <f>IF(AND(BQ$1="DATE",ISNUMBER(BR$1),COUNT(BQ4,BQ5,BQ9,BQ10)=4),1,0)</f>
        <v/>
      </c>
      <c r="BR30">
        <f>IF(AND(BR$1="DATE",ISNUMBER(BS$1),COUNT(BR4,BR5,BR9,BR10)=4),1,0)</f>
        <v/>
      </c>
      <c r="BS30">
        <f>IF(AND(BS$1="DATE",ISNUMBER(BT$1),COUNT(BS4,BS5,BS9,BS10)=4),1,0)</f>
        <v/>
      </c>
      <c r="BT30">
        <f>IF(AND(BT$1="DATE",ISNUMBER(BU$1),COUNT(BT4,BT5,BT9,BT10)=4),1,0)</f>
        <v/>
      </c>
      <c r="BU30">
        <f>IF(AND(BU$1="DATE",ISNUMBER(BV$1),COUNT(BU4,BU5,BU9,BU10)=4),1,0)</f>
        <v/>
      </c>
      <c r="BV30">
        <f>IF(AND(BV$1="DATE",ISNUMBER(BW$1),COUNT(BV4,BV5,BV9,BV10)=4),1,0)</f>
        <v/>
      </c>
      <c r="BW30">
        <f>IF(AND(BW$1="DATE",ISNUMBER(BX$1),COUNT(BW4,BW5,BW9,BW10)=4),1,0)</f>
        <v/>
      </c>
      <c r="BX30">
        <f>IF(AND(BX$1="DATE",ISNUMBER(BY$1),COUNT(BX4,BX5,BX9,BX10)=4),1,0)</f>
        <v/>
      </c>
      <c r="BY30">
        <f>IF(AND(BY$1="DATE",ISNUMBER(BZ$1),COUNT(BY4,BY5,BY9,BY10)=4),1,0)</f>
        <v/>
      </c>
      <c r="BZ30">
        <f>IF(AND(BZ$1="DATE",ISNUMBER(CA$1),COUNT(BZ4,BZ5,BZ9,BZ10)=4),1,0)</f>
        <v/>
      </c>
      <c r="CA30">
        <f>IF(AND(CA$1="DATE",ISNUMBER(CB$1),COUNT(CA4,CA5,CA9,CA10)=4),1,0)</f>
        <v/>
      </c>
      <c r="CB30">
        <f>IF(AND(CB$1="DATE",ISNUMBER(CC$1),COUNT(CB4,CB5,CB9,CB10)=4),1,0)</f>
        <v/>
      </c>
      <c r="CC30">
        <f>IF(AND(CC$1="DATE",ISNUMBER(CD$1),COUNT(CC4,CC5,CC9,CC10)=4),1,0)</f>
        <v/>
      </c>
      <c r="CD30">
        <f>IF(AND(CD$1="DATE",ISNUMBER(CE$1),COUNT(CD4,CD5,CD9,CD10)=4),1,0)</f>
        <v/>
      </c>
      <c r="CE30">
        <f>IF(AND(CE$1="DATE",ISNUMBER(CF$1),COUNT(CE4,CE5,CE9,CE10)=4),1,0)</f>
        <v/>
      </c>
      <c r="CF30">
        <f>IF(AND(CF$1="DATE",ISNUMBER(CG$1),COUNT(CF4,CF5,CF9,CF10)=4),1,0)</f>
        <v/>
      </c>
      <c r="CG30">
        <f>IF(AND(CG$1="DATE",ISNUMBER(CH$1),COUNT(CG4,CG5,CG9,CG10)=4),1,0)</f>
        <v/>
      </c>
      <c r="CH30">
        <f>IF(AND(CH$1="DATE",ISNUMBER(CI$1),COUNT(CH4,CH5,CH9,CH10)=4),1,0)</f>
        <v/>
      </c>
      <c r="CI30">
        <f>IF(AND(CI$1="DATE",ISNUMBER(CJ$1),COUNT(CI4,CI5,CI9,CI10)=4),1,0)</f>
        <v/>
      </c>
      <c r="CJ30">
        <f>IF(AND(CJ$1="DATE",ISNUMBER(CK$1),COUNT(CJ4,CJ5,CJ9,CJ10)=4),1,0)</f>
        <v/>
      </c>
      <c r="CK30">
        <f>IF(AND(CK$1="DATE",ISNUMBER(CL$1),COUNT(CK4,CK5,CK9,CK10)=4),1,0)</f>
        <v/>
      </c>
      <c r="CL30">
        <f>IF(AND(CL$1="DATE",ISNUMBER(CM$1),COUNT(CL4,CL5,CL9,CL10)=4),1,0)</f>
        <v/>
      </c>
      <c r="CM30">
        <f>IF(AND(CM$1="DATE",ISNUMBER(CN$1),COUNT(CM4,CM5,CM9,CM10)=4),1,0)</f>
        <v/>
      </c>
      <c r="CN30">
        <f>IF(AND(CN$1="DATE",ISNUMBER(CO$1),COUNT(CN4,CN5,CN9,CN10)=4),1,0)</f>
        <v/>
      </c>
      <c r="CO30">
        <f>IF(AND(CO$1="DATE",ISNUMBER(CP$1),COUNT(CO4,CO5,CO9,CO10)=4),1,0)</f>
        <v/>
      </c>
      <c r="CP30">
        <f>IF(AND(CP$1="DATE",ISNUMBER(CQ$1),COUNT(CP4,CP5,CP9,CP10)=4),1,0)</f>
        <v/>
      </c>
      <c r="CQ30">
        <f>IF(AND(CQ$1="DATE",ISNUMBER(CR$1),COUNT(CQ4,CQ5,CQ9,CQ10)=4),1,0)</f>
        <v/>
      </c>
      <c r="CR30">
        <f>IF(AND(CR$1="DATE",ISNUMBER(CS$1),COUNT(CR4,CR5,CR9,CR10)=4),1,0)</f>
        <v/>
      </c>
      <c r="CS30">
        <f>IF(AND(CS$1="DATE",ISNUMBER(CT$1),COUNT(CS4,CS5,CS9,CS10)=4),1,0)</f>
        <v/>
      </c>
      <c r="CT30">
        <f>IF(AND(CT$1="DATE",ISNUMBER(CU$1),COUNT(CT4,CT5,CT9,CT10)=4),1,0)</f>
        <v/>
      </c>
      <c r="CU30">
        <f>IF(AND(CU$1="DATE",ISNUMBER(CV$1),COUNT(CU4,CU5,CU9,CU10)=4),1,0)</f>
        <v/>
      </c>
      <c r="CV30">
        <f>IF(AND(CV$1="DATE",ISNUMBER(CW$1),COUNT(CV4,CV5,CV9,CV10)=4),1,0)</f>
        <v/>
      </c>
      <c r="CW30">
        <f>IF(AND(CW$1="DATE",ISNUMBER(CX$1),COUNT(CW4,CW5,CW9,CW10)=4),1,0)</f>
        <v/>
      </c>
      <c r="CX30">
        <f>IF(AND(CX$1="DATE",ISNUMBER(CY$1),COUNT(CX4,CX5,CX9,CX10)=4),1,0)</f>
        <v/>
      </c>
      <c r="CY30">
        <f>IF(AND(CY$1="DATE",ISNUMBER(CZ$1),COUNT(CY4,CY5,CY9,CY10)=4),1,0)</f>
        <v/>
      </c>
      <c r="CZ30">
        <f>IF(AND(CZ$1="DATE",ISNUMBER(DA$1),COUNT(CZ4,CZ5,CZ9,CZ10)=4),1,0)</f>
        <v/>
      </c>
      <c r="DA30">
        <f>IF(AND(DA$1="DATE",ISNUMBER(DB$1),COUNT(DA4,DA5,DA9,DA10)=4),1,0)</f>
        <v/>
      </c>
      <c r="DB30">
        <f>IF(AND(DB$1="DATE",ISNUMBER(DC$1),COUNT(DB4,DB5,DB9,DB10)=4),1,0)</f>
        <v/>
      </c>
      <c r="DC30">
        <f>IF(AND(DC$1="DATE",ISNUMBER(DD$1),COUNT(DC4,DC5,DC9,DC10)=4),1,0)</f>
        <v/>
      </c>
      <c r="DD30">
        <f>IF(AND(DD$1="DATE",ISNUMBER(DE$1),COUNT(DD4,DD5,DD9,DD10)=4),1,0)</f>
        <v/>
      </c>
      <c r="DE30">
        <f>IF(AND(DE$1="DATE",ISNUMBER(DF$1),COUNT(DE4,DE5,DE9,DE10)=4),1,0)</f>
        <v/>
      </c>
      <c r="DF30">
        <f>IF(AND(DF$1="DATE",ISNUMBER(DG$1),COUNT(DF4,DF5,DF9,DF10)=4),1,0)</f>
        <v/>
      </c>
      <c r="DG30">
        <f>IF(AND(DG$1="DATE",ISNUMBER(DH$1),COUNT(DG4,DG5,DG9,DG10)=4),1,0)</f>
        <v/>
      </c>
      <c r="DH30">
        <f>IF(AND(DH$1="DATE",ISNUMBER(DI$1),COUNT(DH4,DH5,DH9,DH10)=4),1,0)</f>
        <v/>
      </c>
      <c r="DI30">
        <f>IF(AND(DI$1="DATE",ISNUMBER(DJ$1),COUNT(DI4,DI5,DI9,DI10)=4),1,0)</f>
        <v/>
      </c>
      <c r="DJ30">
        <f>IF(AND(DJ$1="DATE",ISNUMBER(DK$1),COUNT(DJ4,DJ5,DJ9,DJ10)=4),1,0)</f>
        <v/>
      </c>
      <c r="DK30">
        <f>IF(AND(DK$1="DATE",ISNUMBER(DL$1),COUNT(DK4,DK5,DK9,DK10)=4),1,0)</f>
        <v/>
      </c>
      <c r="DL30">
        <f>IF(AND(DL$1="DATE",ISNUMBER(DM$1),COUNT(DL4,DL5,DL9,DL10)=4),1,0)</f>
        <v/>
      </c>
      <c r="DM30">
        <f>IF(AND(DM$1="DATE",ISNUMBER(DN$1),COUNT(DM4,DM5,DM9,DM10)=4),1,0)</f>
        <v/>
      </c>
      <c r="DN30">
        <f>IF(AND(DN$1="DATE",ISNUMBER(DO$1),COUNT(DN4,DN5,DN9,DN10)=4),1,0)</f>
        <v/>
      </c>
      <c r="DO30">
        <f>IF(AND(DO$1="DATE",ISNUMBER(DP$1),COUNT(DO4,DO5,DO9,DO10)=4),1,0)</f>
        <v/>
      </c>
      <c r="DP30">
        <f>IF(AND(DP$1="DATE",ISNUMBER(DQ$1),COUNT(DP4,DP5,DP9,DP10)=4),1,0)</f>
        <v/>
      </c>
      <c r="DQ30">
        <f>IF(AND(DQ$1="DATE",ISNUMBER(DR$1),COUNT(DQ4,DQ5,DQ9,DQ10)=4),1,0)</f>
        <v/>
      </c>
      <c r="DR30">
        <f>IF(AND(DR$1="DATE",ISNUMBER(DS$1),COUNT(DR4,DR5,DR9,DR10)=4),1,0)</f>
        <v/>
      </c>
      <c r="DS30">
        <f>IF(AND(DS$1="DATE",ISNUMBER(DT$1),COUNT(DS4,DS5,DS9,DS10)=4),1,0)</f>
        <v/>
      </c>
      <c r="DT30">
        <f>IF(AND(DT$1="DATE",ISNUMBER(DU$1),COUNT(DT4,DT5,DT9,DT10)=4),1,0)</f>
        <v/>
      </c>
      <c r="DU30">
        <f>IF(AND(DU$1="DATE",ISNUMBER(DV$1),COUNT(DU4,DU5,DU9,DU10)=4),1,0)</f>
        <v/>
      </c>
      <c r="DV30">
        <f>IF(AND(DV$1="DATE",ISNUMBER(DW$1),COUNT(DV4,DV5,DV9,DV10)=4),1,0)</f>
        <v/>
      </c>
      <c r="DW30">
        <f>IF(AND(DW$1="DATE",ISNUMBER(DX$1),COUNT(DW4,DW5,DW9,DW10)=4),1,0)</f>
        <v/>
      </c>
      <c r="DX30">
        <f>IF(AND(DX$1="DATE",ISNUMBER(DY$1),COUNT(DX4,DX5,DX9,DX10)=4),1,0)</f>
        <v/>
      </c>
      <c r="DY30">
        <f>IF(AND(DY$1="DATE",ISNUMBER(DZ$1),COUNT(DY4,DY5,DY9,DY10)=4),1,0)</f>
        <v/>
      </c>
      <c r="DZ30">
        <f>IF(AND(DZ$1="DATE",ISNUMBER(EA$1),COUNT(DZ4,DZ5,DZ9,DZ10)=4),1,0)</f>
        <v/>
      </c>
      <c r="EA30">
        <f>IF(AND(EA$1="DATE",ISNUMBER(EB$1),COUNT(EA4,EA5,EA9,EA10)=4),1,0)</f>
        <v/>
      </c>
      <c r="EB30">
        <f>IF(AND(EB$1="DATE",ISNUMBER(EC$1),COUNT(EB4,EB5,EB9,EB10)=4),1,0)</f>
        <v/>
      </c>
      <c r="EC30">
        <f>IF(AND(EC$1="DATE",ISNUMBER(ED$1),COUNT(EC4,EC5,EC9,EC10)=4),1,0)</f>
        <v/>
      </c>
      <c r="ED30">
        <f>IF(AND(ED$1="DATE",ISNUMBER(EE$1),COUNT(ED4,ED5,ED9,ED10)=4),1,0)</f>
        <v/>
      </c>
      <c r="EE30">
        <f>IF(AND(EE$1="DATE",ISNUMBER(EF$1),COUNT(EE4,EE5,EE9,EE10)=4),1,0)</f>
        <v/>
      </c>
      <c r="EF30">
        <f>IF(AND(EF$1="DATE",ISNUMBER(EG$1),COUNT(EF4,EF5,EF9,EF10)=4),1,0)</f>
        <v/>
      </c>
      <c r="EG30">
        <f>IF(AND(EG$1="DATE",ISNUMBER(EH$1),COUNT(EG4,EG5,EG9,EG10)=4),1,0)</f>
        <v/>
      </c>
      <c r="EH30">
        <f>IF(AND(EH$1="DATE",ISNUMBER(EI$1),COUNT(EH4,EH5,EH9,EH10)=4),1,0)</f>
        <v/>
      </c>
      <c r="EI30">
        <f>IF(AND(EI$1="DATE",ISNUMBER(EJ$1),COUNT(EI4,EI5,EI9,EI10)=4),1,0)</f>
        <v/>
      </c>
      <c r="EJ30">
        <f>IF(AND(EJ$1="DATE",ISNUMBER(EK$1),COUNT(EJ4,EJ5,EJ9,EJ10)=4),1,0)</f>
        <v/>
      </c>
      <c r="EK30">
        <f>IF(AND(EK$1="DATE",ISNUMBER(EL$1),COUNT(EK4,EK5,EK9,EK10)=4),1,0)</f>
        <v/>
      </c>
      <c r="EL30">
        <f>IF(AND(EL$1="DATE",ISNUMBER(EM$1),COUNT(EL4,EL5,EL9,EL10)=4),1,0)</f>
        <v/>
      </c>
      <c r="EM30">
        <f>IF(AND(EM$1="DATE",ISNUMBER(EN$1),COUNT(EM4,EM5,EM9,EM10)=4),1,0)</f>
        <v/>
      </c>
      <c r="EN30">
        <f>IF(AND(EN$1="DATE",ISNUMBER(EO$1),COUNT(EN4,EN5,EN9,EN10)=4),1,0)</f>
        <v/>
      </c>
      <c r="EO30">
        <f>IF(AND(EO$1="DATE",ISNUMBER(EP$1),COUNT(EO4,EO5,EO9,EO10)=4),1,0)</f>
        <v/>
      </c>
      <c r="EP30">
        <f>IF(AND(EP$1="DATE",ISNUMBER(EQ$1),COUNT(EP4,EP5,EP9,EP10)=4),1,0)</f>
        <v/>
      </c>
      <c r="EQ30">
        <f>IF(AND(EQ$1="DATE",ISNUMBER(ER$1),COUNT(EQ4,EQ5,EQ9,EQ10)=4),1,0)</f>
        <v/>
      </c>
      <c r="ER30">
        <f>IF(AND(ER$1="DATE",ISNUMBER(ES$1),COUNT(ER4,ER5,ER9,ER10)=4),1,0)</f>
        <v/>
      </c>
      <c r="ES30">
        <f>IF(AND(ES$1="DATE",ISNUMBER(ET$1),COUNT(ES4,ES5,ES9,ES10)=4),1,0)</f>
        <v/>
      </c>
      <c r="ET30">
        <f>IF(AND(ET$1="DATE",ISNUMBER(EU$1),COUNT(ET4,ET5,ET9,ET10)=4),1,0)</f>
        <v/>
      </c>
      <c r="EU30">
        <f>IF(AND(EU$1="DATE",ISNUMBER(EV$1),COUNT(EU4,EU5,EU9,EU10)=4),1,0)</f>
        <v/>
      </c>
      <c r="EV30">
        <f>IF(AND(EV$1="DATE",ISNUMBER(EW$1),COUNT(EV4,EV5,EV9,EV10)=4),1,0)</f>
        <v/>
      </c>
      <c r="EW30">
        <f>IF(AND(EW$1="DATE",ISNUMBER(EX$1),COUNT(EW4,EW5,EW9,EW10)=4),1,0)</f>
        <v/>
      </c>
      <c r="EX30">
        <f>IF(AND(EX$1="DATE",ISNUMBER(EY$1),COUNT(EX4,EX5,EX9,EX10)=4),1,0)</f>
        <v/>
      </c>
      <c r="EY30">
        <f>IF(AND(EY$1="DATE",ISNUMBER(EZ$1),COUNT(EY4,EY5,EY9,EY10)=4),1,0)</f>
        <v/>
      </c>
      <c r="EZ30">
        <f>IF(AND(EZ$1="DATE",ISNUMBER(FA$1),COUNT(EZ4,EZ5,EZ9,EZ10)=4),1,0)</f>
        <v/>
      </c>
      <c r="FA30">
        <f>IF(AND(FA$1="DATE",ISNUMBER(FB$1),COUNT(FA4,FA5,FA9,FA10)=4),1,0)</f>
        <v/>
      </c>
      <c r="FB30">
        <f>IF(AND(FB$1="DATE",ISNUMBER(FC$1),COUNT(FB4,FB5,FB9,FB10)=4),1,0)</f>
        <v/>
      </c>
      <c r="FC30">
        <f>IF(AND(FC$1="DATE",ISNUMBER(FD$1),COUNT(FC4,FC5,FC9,FC10)=4),1,0)</f>
        <v/>
      </c>
      <c r="FD30">
        <f>IF(AND(FD$1="DATE",ISNUMBER(FE$1),COUNT(FD4,FD5,FD9,FD10)=4),1,0)</f>
        <v/>
      </c>
      <c r="FE30">
        <f>IF(AND(FE$1="DATE",ISNUMBER(FF$1),COUNT(FE4,FE5,FE9,FE10)=4),1,0)</f>
        <v/>
      </c>
      <c r="FF30">
        <f>IF(AND(FF$1="DATE",ISNUMBER(FG$1),COUNT(FF4,FF5,FF9,FF10)=4),1,0)</f>
        <v/>
      </c>
      <c r="FG30">
        <f>IF(AND(FG$1="DATE",ISNUMBER(FH$1),COUNT(FG4,FG5,FG9,FG10)=4),1,0)</f>
        <v/>
      </c>
      <c r="FH30">
        <f>IF(AND(FH$1="DATE",ISNUMBER(FI$1),COUNT(FH4,FH5,FH9,FH10)=4),1,0)</f>
        <v/>
      </c>
      <c r="FI30">
        <f>IF(AND(FI$1="DATE",ISNUMBER(FJ$1),COUNT(FI4,FI5,FI9,FI10)=4),1,0)</f>
        <v/>
      </c>
      <c r="FJ30">
        <f>IF(AND(FJ$1="DATE",ISNUMBER(FK$1),COUNT(FJ4,FJ5,FJ9,FJ10)=4),1,0)</f>
        <v/>
      </c>
      <c r="FK30">
        <f>IF(AND(FK$1="DATE",ISNUMBER(FL$1),COUNT(FK4,FK5,FK9,FK10)=4),1,0)</f>
        <v/>
      </c>
      <c r="FL30">
        <f>IF(AND(FL$1="DATE",ISNUMBER(FM$1),COUNT(FL4,FL5,FL9,FL10)=4),1,0)</f>
        <v/>
      </c>
      <c r="FM30">
        <f>IF(AND(FM$1="DATE",ISNUMBER(FN$1),COUNT(FM4,FM5,FM9,FM10)=4),1,0)</f>
        <v/>
      </c>
      <c r="FN30">
        <f>IF(AND(FN$1="DATE",ISNUMBER(FO$1),COUNT(FN4,FN5,FN9,FN10)=4),1,0)</f>
        <v/>
      </c>
      <c r="FO30">
        <f>IF(AND(FO$1="DATE",ISNUMBER(FP$1),COUNT(FO4,FO5,FO9,FO10)=4),1,0)</f>
        <v/>
      </c>
      <c r="FP30">
        <f>IF(AND(FP$1="DATE",ISNUMBER(FQ$1),COUNT(FP4,FP5,FP9,FP10)=4),1,0)</f>
        <v/>
      </c>
      <c r="FQ30">
        <f>IF(AND(FQ$1="DATE",ISNUMBER(FR$1),COUNT(FQ4,FQ5,FQ9,FQ10)=4),1,0)</f>
        <v/>
      </c>
      <c r="FR30">
        <f>IF(AND(FR$1="DATE",ISNUMBER(FS$1),COUNT(FR4,FR5,FR9,FR10)=4),1,0)</f>
        <v/>
      </c>
      <c r="FS30">
        <f>IF(AND(FS$1="DATE",ISNUMBER(FT$1),COUNT(FS4,FS5,FS9,FS10)=4),1,0)</f>
        <v/>
      </c>
      <c r="FT30">
        <f>IF(AND(FT$1="DATE",ISNUMBER(FU$1),COUNT(FT4,FT5,FT9,FT10)=4),1,0)</f>
        <v/>
      </c>
      <c r="FU30">
        <f>IF(AND(FU$1="DATE",ISNUMBER(FV$1),COUNT(FU4,FU5,FU9,FU10)=4),1,0)</f>
        <v/>
      </c>
      <c r="FV30">
        <f>IF(AND(FV$1="DATE",ISNUMBER(FW$1),COUNT(FV4,FV5,FV9,FV10)=4),1,0)</f>
        <v/>
      </c>
      <c r="FW30">
        <f>IF(AND(FW$1="DATE",ISNUMBER(FX$1),COUNT(FW4,FW5,FW9,FW10)=4),1,0)</f>
        <v/>
      </c>
      <c r="FX30">
        <f>IF(AND(FX$1="DATE",ISNUMBER(FY$1),COUNT(FX4,FX5,FX9,FX10)=4),1,0)</f>
        <v/>
      </c>
      <c r="FY30">
        <f>IF(AND(FY$1="DATE",ISNUMBER(FZ$1),COUNT(FY4,FY5,FY9,FY10)=4),1,0)</f>
        <v/>
      </c>
      <c r="FZ30">
        <f>IF(AND(FZ$1="DATE",ISNUMBER(GA$1),COUNT(FZ4,FZ5,FZ9,FZ10)=4),1,0)</f>
        <v/>
      </c>
      <c r="GA30">
        <f>IF(AND(GA$1="DATE",ISNUMBER(GB$1),COUNT(GA4,GA5,GA9,GA10)=4),1,0)</f>
        <v/>
      </c>
      <c r="GB30">
        <f>IF(AND(GB$1="DATE",ISNUMBER(GC$1),COUNT(GB4,GB5,GB9,GB10)=4),1,0)</f>
        <v/>
      </c>
      <c r="GC30">
        <f>IF(AND(GC$1="DATE",ISNUMBER(GD$1),COUNT(GC4,GC5,GC9,GC10)=4),1,0)</f>
        <v/>
      </c>
      <c r="GD30">
        <f>IF(AND(GD$1="DATE",ISNUMBER(GE$1),COUNT(GD4,GD5,GD9,GD10)=4),1,0)</f>
        <v/>
      </c>
      <c r="GE30">
        <f>IF(AND(GE$1="DATE",ISNUMBER(GF$1),COUNT(GE4,GE5,GE9,GE10)=4),1,0)</f>
        <v/>
      </c>
      <c r="GF30">
        <f>IF(AND(GF$1="DATE",ISNUMBER(GG$1),COUNT(GF4,GF5,GF9,GF10)=4),1,0)</f>
        <v/>
      </c>
      <c r="GG30">
        <f>IF(AND(GG$1="DATE",ISNUMBER(GH$1),COUNT(GG4,GG5,GG9,GG10)=4),1,0)</f>
        <v/>
      </c>
      <c r="GH30">
        <f>IF(AND(GH$1="DATE",ISNUMBER(GI$1),COUNT(GH4,GH5,GH9,GH10)=4),1,0)</f>
        <v/>
      </c>
      <c r="GI30">
        <f>IF(AND(GI$1="DATE",ISNUMBER(GJ$1),COUNT(GI4,GI5,GI9,GI10)=4),1,0)</f>
        <v/>
      </c>
      <c r="GJ30">
        <f>IF(AND(GJ$1="DATE",ISNUMBER(GK$1),COUNT(GJ4,GJ5,GJ9,GJ10)=4),1,0)</f>
        <v/>
      </c>
      <c r="GK30">
        <f>IF(AND(GK$1="DATE",ISNUMBER(GL$1),COUNT(GK4,GK5,GK9,GK10)=4),1,0)</f>
        <v/>
      </c>
      <c r="GL30">
        <f>IF(AND(GL$1="DATE",ISNUMBER(GM$1),COUNT(GL4,GL5,GL9,GL10)=4),1,0)</f>
        <v/>
      </c>
      <c r="GM30">
        <f>IF(AND(GM$1="DATE",ISNUMBER(GN$1),COUNT(GM4,GM5,GM9,GM10)=4),1,0)</f>
        <v/>
      </c>
      <c r="GN30">
        <f>IF(AND(GN$1="DATE",ISNUMBER(GO$1),COUNT(GN4,GN5,GN9,GN10)=4),1,0)</f>
        <v/>
      </c>
      <c r="GO30">
        <f>IF(AND(GO$1="DATE",ISNUMBER(GP$1),COUNT(GO4,GO5,GO9,GO10)=4),1,0)</f>
        <v/>
      </c>
      <c r="GP30">
        <f>IF(AND(GP$1="DATE",ISNUMBER(GQ$1),COUNT(GP4,GP5,GP9,GP10)=4),1,0)</f>
        <v/>
      </c>
      <c r="GQ30">
        <f>IF(AND(GQ$1="DATE",ISNUMBER(GR$1),COUNT(GQ4,GQ5,GQ9,GQ10)=4),1,0)</f>
        <v/>
      </c>
      <c r="GR30">
        <f>IF(AND(GR$1="DATE",ISNUMBER(GS$1),COUNT(GR4,GR5,GR9,GR10)=4),1,0)</f>
        <v/>
      </c>
      <c r="GS30">
        <f>IF(AND(GS$1="DATE",ISNUMBER(GT$1),COUNT(GS4,GS5,GS9,GS10)=4),1,0)</f>
        <v/>
      </c>
      <c r="GT30">
        <f>IF(AND(GT$1="DATE",ISNUMBER(GU$1),COUNT(GT4,GT5,GT9,GT10)=4),1,0)</f>
        <v/>
      </c>
      <c r="GU30">
        <f>IF(AND(GU$1="DATE",ISNUMBER(GV$1),COUNT(GU4,GU5,GU9,GU10)=4),1,0)</f>
        <v/>
      </c>
      <c r="GV30">
        <f>IF(AND(GV$1="DATE",ISNUMBER(GW$1),COUNT(GV4,GV5,GV9,GV10)=4),1,0)</f>
        <v/>
      </c>
      <c r="GW30">
        <f>IF(AND(GW$1="DATE",ISNUMBER(GX$1),COUNT(GW4,GW5,GW9,GW10)=4),1,0)</f>
        <v/>
      </c>
      <c r="GX30">
        <f>IF(AND(GX$1="DATE",ISNUMBER(GY$1),COUNT(GX4,GX5,GX9,GX10)=4),1,0)</f>
        <v/>
      </c>
      <c r="GY30">
        <f>IF(AND(GY$1="DATE",ISNUMBER(GZ$1),COUNT(GY4,GY5,GY9,GY10)=4),1,0)</f>
        <v/>
      </c>
      <c r="GZ30">
        <f>IF(AND(GZ$1="DATE",ISNUMBER(HA$1),COUNT(GZ4,GZ5,GZ9,GZ10)=4),1,0)</f>
        <v/>
      </c>
      <c r="HA30">
        <f>IF(AND(HA$1="DATE",ISNUMBER(HB$1),COUNT(HA4,HA5,HA9,HA10)=4),1,0)</f>
        <v/>
      </c>
      <c r="HB30">
        <f>IF(AND(HB$1="DATE",ISNUMBER(HC$1),COUNT(HB4,HB5,HB9,HB10)=4),1,0)</f>
        <v/>
      </c>
      <c r="HC30">
        <f>IF(AND(HC$1="DATE",ISNUMBER(HD$1),COUNT(HC4,HC5,HC9,HC10)=4),1,0)</f>
        <v/>
      </c>
      <c r="HD30">
        <f>IF(AND(HD$1="DATE",ISNUMBER(HE$1),COUNT(HD4,HD5,HD9,HD10)=4),1,0)</f>
        <v/>
      </c>
      <c r="HE30">
        <f>IF(AND(HE$1="DATE",ISNUMBER(HF$1),COUNT(HE4,HE5,HE9,HE10)=4),1,0)</f>
        <v/>
      </c>
      <c r="HF30">
        <f>IF(AND(HF$1="DATE",ISNUMBER(HG$1),COUNT(HF4,HF5,HF9,HF10)=4),1,0)</f>
        <v/>
      </c>
      <c r="HG30">
        <f>IF(AND(HG$1="DATE",ISNUMBER(HH$1),COUNT(HG4,HG5,HG9,HG10)=4),1,0)</f>
        <v/>
      </c>
      <c r="HH30">
        <f>IF(AND(HH$1="DATE",ISNUMBER(HI$1),COUNT(HH4,HH5,HH9,HH10)=4),1,0)</f>
        <v/>
      </c>
      <c r="HI30">
        <f>IF(AND(HI$1="DATE",ISNUMBER(HJ$1),COUNT(HI4,HI5,HI9,HI10)=4),1,0)</f>
        <v/>
      </c>
      <c r="HJ30">
        <f>IF(AND(HJ$1="DATE",ISNUMBER(HK$1),COUNT(HJ4,HJ5,HJ9,HJ10)=4),1,0)</f>
        <v/>
      </c>
      <c r="HK30">
        <f>IF(AND(HK$1="DATE",ISNUMBER(HL$1),COUNT(HK4,HK5,HK9,HK10)=4),1,0)</f>
        <v/>
      </c>
      <c r="HL30">
        <f>IF(AND(HL$1="DATE",ISNUMBER(HM$1),COUNT(HL4,HL5,HL9,HL10)=4),1,0)</f>
        <v/>
      </c>
      <c r="HM30">
        <f>IF(AND(HM$1="DATE",ISNUMBER(HN$1),COUNT(HM4,HM5,HM9,HM10)=4),1,0)</f>
        <v/>
      </c>
      <c r="HN30">
        <f>IF(AND(HN$1="DATE",ISNUMBER(HO$1),COUNT(HN4,HN5,HN9,HN10)=4),1,0)</f>
        <v/>
      </c>
      <c r="HO30">
        <f>IF(AND(HO$1="DATE",ISNUMBER(HP$1),COUNT(HO4,HO5,HO9,HO10)=4),1,0)</f>
        <v/>
      </c>
      <c r="HP30">
        <f>IF(AND(HP$1="DATE",ISNUMBER(HQ$1),COUNT(HP4,HP5,HP9,HP10)=4),1,0)</f>
        <v/>
      </c>
      <c r="HQ30">
        <f>IF(AND(HQ$1="DATE",ISNUMBER(HR$1),COUNT(HQ4,HQ5,HQ9,HQ10)=4),1,0)</f>
        <v/>
      </c>
      <c r="HR30">
        <f>IF(AND(HR$1="DATE",ISNUMBER(HS$1),COUNT(HR4,HR5,HR9,HR10)=4),1,0)</f>
        <v/>
      </c>
      <c r="HS30">
        <f>IF(AND(HS$1="DATE",ISNUMBER(HT$1),COUNT(HS4,HS5,HS9,HS10)=4),1,0)</f>
        <v/>
      </c>
      <c r="HT30">
        <f>IF(AND(HT$1="DATE",ISNUMBER(HU$1),COUNT(HT4,HT5,HT9,HT10)=4),1,0)</f>
        <v/>
      </c>
      <c r="HU30">
        <f>IF(AND(HU$1="DATE",ISNUMBER(HV$1),COUNT(HU4,HU5,HU9,HU10)=4),1,0)</f>
        <v/>
      </c>
      <c r="HV30">
        <f>IF(AND(HV$1="DATE",ISNUMBER(HW$1),COUNT(HV4,HV5,HV9,HV10)=4),1,0)</f>
        <v/>
      </c>
      <c r="HW30">
        <f>IF(AND(HW$1="DATE",ISNUMBER(HX$1),COUNT(HW4,HW5,HW9,HW10)=4),1,0)</f>
        <v/>
      </c>
      <c r="HX30">
        <f>IF(AND(HX$1="DATE",ISNUMBER(HY$1),COUNT(HX4,HX5,HX9,HX10)=4),1,0)</f>
        <v/>
      </c>
      <c r="HY30">
        <f>IF(AND(HY$1="DATE",ISNUMBER(HZ$1),COUNT(HY4,HY5,HY9,HY10)=4),1,0)</f>
        <v/>
      </c>
      <c r="HZ30">
        <f>IF(AND(HZ$1="DATE",ISNUMBER(IA$1),COUNT(HZ4,HZ5,HZ9,HZ10)=4),1,0)</f>
        <v/>
      </c>
      <c r="IA30">
        <f>IF(AND(IA$1="DATE",ISNUMBER(IB$1),COUNT(IA4,IA5,IA9,IA10)=4),1,0)</f>
        <v/>
      </c>
      <c r="IB30">
        <f>IF(AND(IB$1="DATE",ISNUMBER(IC$1),COUNT(IB4,IB5,IB9,IB10)=4),1,0)</f>
        <v/>
      </c>
      <c r="IC30">
        <f>IF(AND(IC$1="DATE",ISNUMBER(ID$1),COUNT(IC4,IC5,IC9,IC10)=4),1,0)</f>
        <v/>
      </c>
      <c r="ID30">
        <f>IF(AND(ID$1="DATE",ISNUMBER(IE$1),COUNT(ID4,ID5,ID9,ID10)=4),1,0)</f>
        <v/>
      </c>
      <c r="IE30">
        <f>IF(AND(IE$1="DATE",ISNUMBER(IF$1),COUNT(IE4,IE5,IE9,IE10)=4),1,0)</f>
        <v/>
      </c>
      <c r="IF30">
        <f>IF(AND(IF$1="DATE",ISNUMBER(IG$1),COUNT(IF4,IF5,IF9,IF10)=4),1,0)</f>
        <v/>
      </c>
      <c r="IG30">
        <f>IF(AND(IG$1="DATE",ISNUMBER(IH$1),COUNT(IG4,IG5,IG9,IG10)=4),1,0)</f>
        <v/>
      </c>
      <c r="IH30">
        <f>IF(AND(IH$1="DATE",ISNUMBER(II$1),COUNT(IH4,IH5,IH9,IH10)=4),1,0)</f>
        <v/>
      </c>
      <c r="II30">
        <f>IF(AND(II$1="DATE",ISNUMBER(IJ$1),COUNT(II4,II5,II9,II10)=4),1,0)</f>
        <v/>
      </c>
      <c r="IJ30">
        <f>IF(AND(IJ$1="DATE",ISNUMBER(IK$1),COUNT(IJ4,IJ5,IJ9,IJ10)=4),1,0)</f>
        <v/>
      </c>
      <c r="IK30">
        <f>IF(AND(IK$1="DATE",ISNUMBER(IL$1),COUNT(IK4,IK5,IK9,IK10)=4),1,0)</f>
        <v/>
      </c>
      <c r="IL30">
        <f>IF(AND(IL$1="DATE",ISNUMBER(IM$1),COUNT(IL4,IL5,IL9,IL10)=4),1,0)</f>
        <v/>
      </c>
      <c r="IM30">
        <f>IF(AND(IM$1="DATE",ISNUMBER(IN$1),COUNT(IM4,IM5,IM9,IM10)=4),1,0)</f>
        <v/>
      </c>
      <c r="IN30">
        <f>IF(AND(IN$1="DATE",ISNUMBER(IO$1),COUNT(IN4,IN5,IN9,IN10)=4),1,0)</f>
        <v/>
      </c>
      <c r="IO30">
        <f>IF(AND(IO$1="DATE",ISNUMBER(IP$1),COUNT(IO4,IO5,IO9,IO10)=4),1,0)</f>
        <v/>
      </c>
      <c r="IP30">
        <f>IF(AND(IP$1="DATE",ISNUMBER(IQ$1),COUNT(IP4,IP5,IP9,IP10)=4),1,0)</f>
        <v/>
      </c>
      <c r="IQ30">
        <f>IF(AND(IQ$1="DATE",ISNUMBER(IR$1),COUNT(IQ4,IQ5,IQ9,IQ10)=4),1,0)</f>
        <v/>
      </c>
      <c r="IR30">
        <f>IF(AND(IR$1="DATE",ISNUMBER(IS$1),COUNT(IR4,IR5,IR9,IR10)=4),1,0)</f>
        <v/>
      </c>
      <c r="IS30">
        <f>IF(AND(IS$1="DATE",ISNUMBER(IT$1),COUNT(IS4,IS5,IS9,IS10)=4),1,0)</f>
        <v/>
      </c>
      <c r="IT30">
        <f>IF(AND(IT$1="DATE",ISNUMBER(IU$1),COUNT(IT4,IT5,IT9,IT10)=4),1,0)</f>
        <v/>
      </c>
      <c r="IU30">
        <f>IF(AND(IU$1="DATE",ISNUMBER(IV$1),COUNT(IU4,IU5,IU9,IU10)=4),1,0)</f>
        <v/>
      </c>
      <c r="IV30">
        <f>IF(AND(IV$1="DATE",ISNUMBER(IW$1),COUNT(IV4,IV5,IV9,IV10)=4),1,0)</f>
        <v/>
      </c>
      <c r="IW30">
        <f>IF(AND(IW$1="DATE",ISNUMBER(IX$1),COUNT(IW4,IW5,IW9,IW10)=4),1,0)</f>
        <v/>
      </c>
      <c r="IX30">
        <f>IF(AND(IX$1="DATE",ISNUMBER(IY$1),COUNT(IX4,IX5,IX9,IX10)=4),1,0)</f>
        <v/>
      </c>
      <c r="IY30">
        <f>IF(AND(IY$1="DATE",ISNUMBER(IZ$1),COUNT(IY4,IY5,IY9,IY10)=4),1,0)</f>
        <v/>
      </c>
      <c r="IZ30">
        <f>IF(AND(IZ$1="DATE",ISNUMBER(JA$1),COUNT(IZ4,IZ5,IZ9,IZ10)=4),1,0)</f>
        <v/>
      </c>
      <c r="JA30">
        <f>IF(AND(JA$1="DATE",ISNUMBER(JB$1),COUNT(JA4,JA5,JA9,JA10)=4),1,0)</f>
        <v/>
      </c>
      <c r="JB30">
        <f>IF(AND(JB$1="DATE",ISNUMBER(JC$1),COUNT(JB4,JB5,JB9,JB10)=4),1,0)</f>
        <v/>
      </c>
      <c r="JC30">
        <f>IF(AND(JC$1="DATE",ISNUMBER(JD$1),COUNT(JC4,JC5,JC9,JC10)=4),1,0)</f>
        <v/>
      </c>
      <c r="JD30">
        <f>IF(AND(JD$1="DATE",ISNUMBER(JE$1),COUNT(JD4,JD5,JD9,JD10)=4),1,0)</f>
        <v/>
      </c>
      <c r="JE30">
        <f>IF(AND(JE$1="DATE",ISNUMBER(JF$1),COUNT(JE4,JE5,JE9,JE10)=4),1,0)</f>
        <v/>
      </c>
      <c r="JF30">
        <f>IF(AND(JF$1="DATE",ISNUMBER(JG$1),COUNT(JF4,JF5,JF9,JF10)=4),1,0)</f>
        <v/>
      </c>
      <c r="JG30">
        <f>IF(AND(JG$1="DATE",ISNUMBER(JH$1),COUNT(JG4,JG5,JG9,JG10)=4),1,0)</f>
        <v/>
      </c>
      <c r="JH30">
        <f>IF(AND(JH$1="DATE",ISNUMBER(JI$1),COUNT(JH4,JH5,JH9,JH10)=4),1,0)</f>
        <v/>
      </c>
      <c r="JI30">
        <f>IF(AND(JI$1="DATE",ISNUMBER(JJ$1),COUNT(JI4,JI5,JI9,JI10)=4),1,0)</f>
        <v/>
      </c>
      <c r="JJ30">
        <f>IF(AND(JJ$1="DATE",ISNUMBER(JK$1),COUNT(JJ4,JJ5,JJ9,JJ10)=4),1,0)</f>
        <v/>
      </c>
      <c r="JK30">
        <f>IF(AND(JK$1="DATE",ISNUMBER(JL$1),COUNT(JK4,JK5,JK9,JK10)=4),1,0)</f>
        <v/>
      </c>
      <c r="JL30">
        <f>IF(AND(JL$1="DATE",ISNUMBER(JM$1),COUNT(JL4,JL5,JL9,JL10)=4),1,0)</f>
        <v/>
      </c>
      <c r="JM30">
        <f>IF(AND(JM$1="DATE",ISNUMBER(JN$1),COUNT(JM4,JM5,JM9,JM10)=4),1,0)</f>
        <v/>
      </c>
      <c r="JN30">
        <f>IF(AND(JN$1="DATE",ISNUMBER(JO$1),COUNT(JN4,JN5,JN9,JN10)=4),1,0)</f>
        <v/>
      </c>
      <c r="JO30">
        <f>IF(AND(JO$1="DATE",ISNUMBER(JP$1),COUNT(JO4,JO5,JO9,JO10)=4),1,0)</f>
        <v/>
      </c>
      <c r="JP30">
        <f>IF(AND(JP$1="DATE",ISNUMBER(JQ$1),COUNT(JP4,JP5,JP9,JP10)=4),1,0)</f>
        <v/>
      </c>
      <c r="JQ30">
        <f>IF(AND(JQ$1="DATE",ISNUMBER(JR$1),COUNT(JQ4,JQ5,JQ9,JQ10)=4),1,0)</f>
        <v/>
      </c>
      <c r="JR30">
        <f>IF(AND(JR$1="DATE",ISNUMBER(JS$1),COUNT(JR4,JR5,JR9,JR10)=4),1,0)</f>
        <v/>
      </c>
      <c r="JS30">
        <f>IF(AND(JS$1="DATE",ISNUMBER(JT$1),COUNT(JS4,JS5,JS9,JS10)=4),1,0)</f>
        <v/>
      </c>
      <c r="JT30">
        <f>IF(AND(JT$1="DATE",ISNUMBER(JU$1),COUNT(JT4,JT5,JT9,JT10)=4),1,0)</f>
        <v/>
      </c>
      <c r="JU30">
        <f>IF(AND(JU$1="DATE",ISNUMBER(JV$1),COUNT(JU4,JU5,JU9,JU10)=4),1,0)</f>
        <v/>
      </c>
      <c r="JV30">
        <f>IF(AND(JV$1="DATE",ISNUMBER(JW$1),COUNT(JV4,JV5,JV9,JV10)=4),1,0)</f>
        <v/>
      </c>
      <c r="JW30">
        <f>IF(AND(JW$1="DATE",ISNUMBER(JX$1),COUNT(JW4,JW5,JW9,JW10)=4),1,0)</f>
        <v/>
      </c>
      <c r="JX30">
        <f>IF(AND(JX$1="DATE",ISNUMBER(JY$1),COUNT(JX4,JX5,JX9,JX10)=4),1,0)</f>
        <v/>
      </c>
      <c r="JY30">
        <f>IF(AND(JY$1="DATE",ISNUMBER(JZ$1),COUNT(JY4,JY5,JY9,JY10)=4),1,0)</f>
        <v/>
      </c>
      <c r="JZ30">
        <f>IF(AND(JZ$1="DATE",ISNUMBER(KA$1),COUNT(JZ4,JZ5,JZ9,JZ10)=4),1,0)</f>
        <v/>
      </c>
      <c r="KA30">
        <f>IF(AND(KA$1="DATE",ISNUMBER(KB$1),COUNT(KA4,KA5,KA9,KA10)=4),1,0)</f>
        <v/>
      </c>
      <c r="KB30">
        <f>IF(AND(KB$1="DATE",ISNUMBER(KC$1),COUNT(KB4,KB5,KB9,KB10)=4),1,0)</f>
        <v/>
      </c>
      <c r="KC30">
        <f>IF(AND(KC$1="DATE",ISNUMBER(KD$1),COUNT(KC4,KC5,KC9,KC10)=4),1,0)</f>
        <v/>
      </c>
      <c r="KD30">
        <f>IF(AND(KD$1="DATE",ISNUMBER(KE$1),COUNT(KD4,KD5,KD9,KD10)=4),1,0)</f>
        <v/>
      </c>
      <c r="KE30">
        <f>IF(AND(KE$1="DATE",ISNUMBER(KF$1),COUNT(KE4,KE5,KE9,KE10)=4),1,0)</f>
        <v/>
      </c>
      <c r="KF30">
        <f>IF(AND(KF$1="DATE",ISNUMBER(KG$1),COUNT(KF4,KF5,KF9,KF10)=4),1,0)</f>
        <v/>
      </c>
      <c r="KG30">
        <f>IF(AND(KG$1="DATE",ISNUMBER(KH$1),COUNT(KG4,KG5,KG9,KG10)=4),1,0)</f>
        <v/>
      </c>
      <c r="KH30">
        <f>IF(AND(KH$1="DATE",ISNUMBER(KI$1),COUNT(KH4,KH5,KH9,KH10)=4),1,0)</f>
        <v/>
      </c>
      <c r="KI30">
        <f>IF(AND(KI$1="DATE",ISNUMBER(KJ$1),COUNT(KI4,KI5,KI9,KI10)=4),1,0)</f>
        <v/>
      </c>
      <c r="KJ30">
        <f>IF(AND(KJ$1="DATE",ISNUMBER(KK$1),COUNT(KJ4,KJ5,KJ9,KJ10)=4),1,0)</f>
        <v/>
      </c>
      <c r="KK30">
        <f>IF(AND(KK$1="DATE",ISNUMBER(KL$1),COUNT(KK4,KK5,KK9,KK10)=4),1,0)</f>
        <v/>
      </c>
      <c r="KL30">
        <f>IF(AND(KL$1="DATE",ISNUMBER(KM$1),COUNT(KL4,KL5,KL9,KL10)=4),1,0)</f>
        <v/>
      </c>
      <c r="KM30">
        <f>IF(AND(KM$1="DATE",ISNUMBER(KN$1),COUNT(KM4,KM5,KM9,KM10)=4),1,0)</f>
        <v/>
      </c>
      <c r="KN30">
        <f>IF(AND(KN$1="DATE",ISNUMBER(KO$1),COUNT(KN4,KN5,KN9,KN10)=4),1,0)</f>
        <v/>
      </c>
      <c r="KO30">
        <f>IF(AND(KO$1="DATE",ISNUMBER(KP$1),COUNT(KO4,KO5,KO9,KO10)=4),1,0)</f>
        <v/>
      </c>
      <c r="KP30">
        <f>IF(AND(KP$1="DATE",ISNUMBER(KQ$1),COUNT(KP4,KP5,KP9,KP10)=4),1,0)</f>
        <v/>
      </c>
      <c r="KQ30">
        <f>IF(AND(KQ$1="DATE",ISNUMBER(KR$1),COUNT(KQ4,KQ5,KQ9,KQ10)=4),1,0)</f>
        <v/>
      </c>
      <c r="KR30">
        <f>IF(AND(KR$1="DATE",ISNUMBER(KS$1),COUNT(KR4,KR5,KR9,KR10)=4),1,0)</f>
        <v/>
      </c>
      <c r="KS30">
        <f>IF(AND(KS$1="DATE",ISNUMBER(KT$1),COUNT(KS4,KS5,KS9,KS10)=4),1,0)</f>
        <v/>
      </c>
      <c r="KT30">
        <f>IF(AND(KT$1="DATE",ISNUMBER(KU$1),COUNT(KT4,KT5,KT9,KT10)=4),1,0)</f>
        <v/>
      </c>
      <c r="KU30">
        <f>IF(AND(KU$1="DATE",ISNUMBER(KV$1),COUNT(KU4,KU5,KU9,KU10)=4),1,0)</f>
        <v/>
      </c>
      <c r="KV30">
        <f>IF(AND(KV$1="DATE",ISNUMBER(KW$1),COUNT(KV4,KV5,KV9,KV10)=4),1,0)</f>
        <v/>
      </c>
      <c r="KW30">
        <f>IF(AND(KW$1="DATE",ISNUMBER(KX$1),COUNT(KW4,KW5,KW9,KW10)=4),1,0)</f>
        <v/>
      </c>
      <c r="KX30">
        <f>IF(AND(KX$1="DATE",ISNUMBER(KY$1),COUNT(KX4,KX5,KX9,KX10)=4),1,0)</f>
        <v/>
      </c>
      <c r="KY30">
        <f>IF(AND(KY$1="DATE",ISNUMBER(KZ$1),COUNT(KY4,KY5,KY9,KY10)=4),1,0)</f>
        <v/>
      </c>
      <c r="KZ30">
        <f>IF(AND(KZ$1="DATE",ISNUMBER(LA$1),COUNT(KZ4,KZ5,KZ9,KZ10)=4),1,0)</f>
        <v/>
      </c>
      <c r="LA30">
        <f>IF(AND(LA$1="DATE",ISNUMBER(LB$1),COUNT(LA4,LA5,LA9,LA10)=4),1,0)</f>
        <v/>
      </c>
      <c r="LB30">
        <f>IF(AND(LB$1="DATE",ISNUMBER(LC$1),COUNT(LB4,LB5,LB9,LB10)=4),1,0)</f>
        <v/>
      </c>
      <c r="LC30">
        <f>IF(AND(LC$1="DATE",ISNUMBER(LD$1),COUNT(LC4,LC5,LC9,LC10)=4),1,0)</f>
        <v/>
      </c>
      <c r="LD30">
        <f>IF(AND(LD$1="DATE",ISNUMBER(LE$1),COUNT(LD4,LD5,LD9,LD10)=4),1,0)</f>
        <v/>
      </c>
      <c r="LE30">
        <f>IF(AND(LE$1="DATE",ISNUMBER(LF$1),COUNT(LE4,LE5,LE9,LE10)=4),1,0)</f>
        <v/>
      </c>
      <c r="LF30">
        <f>IF(AND(LF$1="DATE",ISNUMBER(LG$1),COUNT(LF4,LF5,LF9,LF10)=4),1,0)</f>
        <v/>
      </c>
      <c r="LG30">
        <f>IF(AND(LG$1="DATE",ISNUMBER(LH$1),COUNT(LG4,LG5,LG9,LG10)=4),1,0)</f>
        <v/>
      </c>
      <c r="LH30">
        <f>IF(AND(LH$1="DATE",ISNUMBER(LI$1),COUNT(LH4,LH5,LH9,LH10)=4),1,0)</f>
        <v/>
      </c>
      <c r="LI30">
        <f>IF(AND(LI$1="DATE",ISNUMBER(LJ$1),COUNT(LI4,LI5,LI9,LI10)=4),1,0)</f>
        <v/>
      </c>
      <c r="LJ30">
        <f>IF(AND(LJ$1="DATE",ISNUMBER(LK$1),COUNT(LJ4,LJ5,LJ9,LJ10)=4),1,0)</f>
        <v/>
      </c>
      <c r="LK30">
        <f>IF(AND(LK$1="DATE",ISNUMBER(LL$1),COUNT(LK4,LK5,LK9,LK10)=4),1,0)</f>
        <v/>
      </c>
      <c r="LL30">
        <f>IF(AND(LL$1="DATE",ISNUMBER(LM$1),COUNT(LL4,LL5,LL9,LL10)=4),1,0)</f>
        <v/>
      </c>
      <c r="LM30">
        <f>IF(AND(LM$1="DATE",ISNUMBER(LN$1),COUNT(LM4,LM5,LM9,LM10)=4),1,0)</f>
        <v/>
      </c>
      <c r="LN30">
        <f>IF(AND(LN$1="DATE",ISNUMBER(LO$1),COUNT(LN4,LN5,LN9,LN10)=4),1,0)</f>
        <v/>
      </c>
      <c r="LO30">
        <f>IF(AND(LO$1="DATE",ISNUMBER(LP$1),COUNT(LO4,LO5,LO9,LO10)=4),1,0)</f>
        <v/>
      </c>
      <c r="LP30">
        <f>IF(AND(LP$1="DATE",ISNUMBER(LQ$1),COUNT(LP4,LP5,LP9,LP10)=4),1,0)</f>
        <v/>
      </c>
      <c r="LQ30">
        <f>IF(AND(LQ$1="DATE",ISNUMBER(LR$1),COUNT(LQ4,LQ5,LQ9,LQ10)=4),1,0)</f>
        <v/>
      </c>
      <c r="LR30">
        <f>IF(AND(LR$1="DATE",ISNUMBER(LS$1),COUNT(LR4,LR5,LR9,LR10)=4),1,0)</f>
        <v/>
      </c>
      <c r="LS30">
        <f>IF(AND(LS$1="DATE",ISNUMBER(LT$1),COUNT(LS4,LS5,LS9,LS10)=4),1,0)</f>
        <v/>
      </c>
      <c r="LT30">
        <f>IF(AND(LT$1="DATE",ISNUMBER(LU$1),COUNT(LT4,LT5,LT9,LT10)=4),1,0)</f>
        <v/>
      </c>
      <c r="LU30">
        <f>IF(AND(LU$1="DATE",ISNUMBER(LV$1),COUNT(LU4,LU5,LU9,LU10)=4),1,0)</f>
        <v/>
      </c>
      <c r="LV30">
        <f>IF(AND(LV$1="DATE",ISNUMBER(LW$1),COUNT(LV4,LV5,LV9,LV10)=4),1,0)</f>
        <v/>
      </c>
      <c r="LW30">
        <f>IF(AND(LW$1="DATE",ISNUMBER(LX$1),COUNT(LW4,LW5,LW9,LW10)=4),1,0)</f>
        <v/>
      </c>
      <c r="LX30">
        <f>IF(AND(LX$1="DATE",ISNUMBER(LY$1),COUNT(LX4,LX5,LX9,LX10)=4),1,0)</f>
        <v/>
      </c>
      <c r="LY30">
        <f>IF(AND(LY$1="DATE",ISNUMBER(LZ$1),COUNT(LY4,LY5,LY9,LY10)=4),1,0)</f>
        <v/>
      </c>
      <c r="LZ30">
        <f>IF(AND(LZ$1="DATE",ISNUMBER(MA$1),COUNT(LZ4,LZ5,LZ9,LZ10)=4),1,0)</f>
        <v/>
      </c>
      <c r="MA30">
        <f>IF(AND(MA$1="DATE",ISNUMBER(MB$1),COUNT(MA4,MA5,MA9,MA10)=4),1,0)</f>
        <v/>
      </c>
      <c r="MB30">
        <f>IF(AND(MB$1="DATE",ISNUMBER(MC$1),COUNT(MB4,MB5,MB9,MB10)=4),1,0)</f>
        <v/>
      </c>
      <c r="MC30">
        <f>IF(AND(MC$1="DATE",ISNUMBER(MD$1),COUNT(MC4,MC5,MC9,MC10)=4),1,0)</f>
        <v/>
      </c>
      <c r="MD30">
        <f>IF(AND(MD$1="DATE",ISNUMBER(ME$1),COUNT(MD4,MD5,MD9,MD10)=4),1,0)</f>
        <v/>
      </c>
      <c r="ME30">
        <f>IF(AND(ME$1="DATE",ISNUMBER(MF$1),COUNT(ME4,ME5,ME9,ME10)=4),1,0)</f>
        <v/>
      </c>
      <c r="MF30">
        <f>IF(AND(MF$1="DATE",ISNUMBER(MG$1),COUNT(MF4,MF5,MF9,MF10)=4),1,0)</f>
        <v/>
      </c>
      <c r="MG30">
        <f>IF(AND(MG$1="DATE",ISNUMBER(MH$1),COUNT(MG4,MG5,MG9,MG10)=4),1,0)</f>
        <v/>
      </c>
      <c r="MH30">
        <f>IF(AND(MH$1="DATE",ISNUMBER(MI$1),COUNT(MH4,MH5,MH9,MH10)=4),1,0)</f>
        <v/>
      </c>
      <c r="MI30">
        <f>IF(AND(MI$1="DATE",ISNUMBER(MJ$1),COUNT(MI4,MI5,MI9,MI10)=4),1,0)</f>
        <v/>
      </c>
      <c r="MJ30">
        <f>IF(AND(MJ$1="DATE",ISNUMBER(MK$1),COUNT(MJ4,MJ5,MJ9,MJ10)=4),1,0)</f>
        <v/>
      </c>
      <c r="MK30">
        <f>IF(AND(MK$1="DATE",ISNUMBER(ML$1),COUNT(MK4,MK5,MK9,MK10)=4),1,0)</f>
        <v/>
      </c>
      <c r="ML30">
        <f>IF(AND(ML$1="DATE",ISNUMBER(MM$1),COUNT(ML4,ML5,ML9,ML10)=4),1,0)</f>
        <v/>
      </c>
      <c r="MM30">
        <f>IF(AND(MM$1="DATE",ISNUMBER(MN$1),COUNT(MM4,MM5,MM9,MM10)=4),1,0)</f>
        <v/>
      </c>
      <c r="MN30">
        <f>IF(AND(MN$1="DATE",ISNUMBER(MO$1),COUNT(MN4,MN5,MN9,MN10)=4),1,0)</f>
        <v/>
      </c>
      <c r="MO30">
        <f>IF(AND(MO$1="DATE",ISNUMBER(MP$1),COUNT(MO4,MO5,MO9,MO10)=4),1,0)</f>
        <v/>
      </c>
      <c r="MP30">
        <f>IF(AND(MP$1="DATE",ISNUMBER(MQ$1),COUNT(MP4,MP5,MP9,MP10)=4),1,0)</f>
        <v/>
      </c>
      <c r="MQ30">
        <f>IF(AND(MQ$1="DATE",ISNUMBER(MR$1),COUNT(MQ4,MQ5,MQ9,MQ10)=4),1,0)</f>
        <v/>
      </c>
      <c r="MR30">
        <f>IF(AND(MR$1="DATE",ISNUMBER(MS$1),COUNT(MR4,MR5,MR9,MR10)=4),1,0)</f>
        <v/>
      </c>
      <c r="MS30">
        <f>IF(AND(MS$1="DATE",ISNUMBER(MT$1),COUNT(MS4,MS5,MS9,MS10)=4),1,0)</f>
        <v/>
      </c>
      <c r="MT30">
        <f>IF(AND(MT$1="DATE",ISNUMBER(MU$1),COUNT(MT4,MT5,MT9,MT10)=4),1,0)</f>
        <v/>
      </c>
      <c r="MU30">
        <f>IF(AND(MU$1="DATE",ISNUMBER(MV$1),COUNT(MU4,MU5,MU9,MU10)=4),1,0)</f>
        <v/>
      </c>
      <c r="MV30">
        <f>IF(AND(MV$1="DATE",ISNUMBER(MW$1),COUNT(MV4,MV5,MV9,MV10)=4),1,0)</f>
        <v/>
      </c>
      <c r="MW30">
        <f>IF(AND(MW$1="DATE",ISNUMBER(MX$1),COUNT(MW4,MW5,MW9,MW10)=4),1,0)</f>
        <v/>
      </c>
      <c r="MX30">
        <f>IF(AND(MX$1="DATE",ISNUMBER(MY$1),COUNT(MX4,MX5,MX9,MX10)=4),1,0)</f>
        <v/>
      </c>
      <c r="MY30">
        <f>IF(AND(MY$1="DATE",ISNUMBER(MZ$1),COUNT(MY4,MY5,MY9,MY10)=4),1,0)</f>
        <v/>
      </c>
      <c r="MZ30">
        <f>IF(AND(MZ$1="DATE",ISNUMBER(NA$1),COUNT(MZ4,MZ5,MZ9,MZ10)=4),1,0)</f>
        <v/>
      </c>
      <c r="NA30">
        <f>IF(AND(NA$1="DATE",ISNUMBER(NB$1),COUNT(NA4,NA5,NA9,NA10)=4),1,0)</f>
        <v/>
      </c>
      <c r="NB30">
        <f>IF(AND(NB$1="DATE",ISNUMBER(NC$1),COUNT(NB4,NB5,NB9,NB10)=4),1,0)</f>
        <v/>
      </c>
      <c r="NC30">
        <f>IF(AND(NC$1="DATE",ISNUMBER(ND$1),COUNT(NC4,NC5,NC9,NC10)=4),1,0)</f>
        <v/>
      </c>
      <c r="ND30">
        <f>IF(AND(ND$1="DATE",ISNUMBER(NE$1),COUNT(ND4,ND5,ND9,ND10)=4),1,0)</f>
        <v/>
      </c>
      <c r="NE30">
        <f>IF(AND(NE$1="DATE",ISNUMBER(NF$1),COUNT(NE4,NE5,NE9,NE10)=4),1,0)</f>
        <v/>
      </c>
      <c r="NF30">
        <f>IF(AND(NF$1="DATE",ISNUMBER(NG$1),COUNT(NF4,NF5,NF9,NF10)=4),1,0)</f>
        <v/>
      </c>
      <c r="NG30">
        <f>IF(AND(NG$1="DATE",ISNUMBER(NH$1),COUNT(NG4,NG5,NG9,NG10)=4),1,0)</f>
        <v/>
      </c>
      <c r="NH30">
        <f>IF(AND(NH$1="DATE",ISNUMBER(NI$1),COUNT(NH4,NH5,NH9,NH10)=4),1,0)</f>
        <v/>
      </c>
      <c r="NI30">
        <f>IF(AND(NI$1="DATE",ISNUMBER(NJ$1),COUNT(NI4,NI5,NI9,NI10)=4),1,0)</f>
        <v/>
      </c>
      <c r="NJ30">
        <f>IF(AND(NJ$1="DATE",ISNUMBER(NK$1),COUNT(NJ4,NJ5,NJ9,NJ10)=4),1,0)</f>
        <v/>
      </c>
      <c r="NK30">
        <f>IF(AND(NK$1="DATE",ISNUMBER(NL$1),COUNT(NK4,NK5,NK9,NK10)=4),1,0)</f>
        <v/>
      </c>
      <c r="NL30">
        <f>IF(AND(NL$1="DATE",ISNUMBER(NM$1),COUNT(NL4,NL5,NL9,NL10)=4),1,0)</f>
        <v/>
      </c>
      <c r="NM30">
        <f>IF(AND(NM$1="DATE",ISNUMBER(NN$1),COUNT(NM4,NM5,NM9,NM10)=4),1,0)</f>
        <v/>
      </c>
      <c r="NN30">
        <f>IF(AND(NN$1="DATE",ISNUMBER(NO$1),COUNT(NN4,NN5,NN9,NN10)=4),1,0)</f>
        <v/>
      </c>
      <c r="NO30">
        <f>IF(AND(NO$1="DATE",ISNUMBER(NP$1),COUNT(NO4,NO5,NO9,NO10)=4),1,0)</f>
        <v/>
      </c>
      <c r="NP30">
        <f>IF(AND(NP$1="DATE",ISNUMBER(NQ$1),COUNT(NP4,NP5,NP9,NP10)=4),1,0)</f>
        <v/>
      </c>
      <c r="NQ30">
        <f>IF(AND(NQ$1="DATE",ISNUMBER(NR$1),COUNT(NQ4,NQ5,NQ9,NQ10)=4),1,0)</f>
        <v/>
      </c>
      <c r="NR30">
        <f>IF(AND(NR$1="DATE",ISNUMBER(NS$1),COUNT(NR4,NR5,NR9,NR10)=4),1,0)</f>
        <v/>
      </c>
      <c r="NS30">
        <f>IF(AND(NS$1="DATE",ISNUMBER(NT$1),COUNT(NS4,NS5,NS9,NS10)=4),1,0)</f>
        <v/>
      </c>
      <c r="NT30">
        <f>IF(AND(NT$1="DATE",ISNUMBER(NU$1),COUNT(NT4,NT5,NT9,NT10)=4),1,0)</f>
        <v/>
      </c>
      <c r="NU30">
        <f>IF(AND(NU$1="DATE",ISNUMBER(NV$1),COUNT(NU4,NU5,NU9,NU10)=4),1,0)</f>
        <v/>
      </c>
      <c r="NV30">
        <f>IF(AND(NV$1="DATE",ISNUMBER(NW$1),COUNT(NV4,NV5,NV9,NV10)=4),1,0)</f>
        <v/>
      </c>
      <c r="NW30">
        <f>IF(AND(NW$1="DATE",ISNUMBER(NX$1),COUNT(NW4,NW5,NW9,NW10)=4),1,0)</f>
        <v/>
      </c>
      <c r="NX30">
        <f>IF(AND(NX$1="DATE",ISNUMBER(NY$1),COUNT(NX4,NX5,NX9,NX10)=4),1,0)</f>
        <v/>
      </c>
      <c r="NY30">
        <f>IF(AND(NY$1="DATE",ISNUMBER(NZ$1),COUNT(NY4,NY5,NY9,NY10)=4),1,0)</f>
        <v/>
      </c>
      <c r="NZ30">
        <f>IF(AND(NZ$1="DATE",ISNUMBER(OA$1),COUNT(NZ4,NZ5,NZ9,NZ10)=4),1,0)</f>
        <v/>
      </c>
      <c r="OA30">
        <f>IF(AND(OA$1="DATE",ISNUMBER(OB$1),COUNT(OA4,OA5,OA9,OA10)=4),1,0)</f>
        <v/>
      </c>
      <c r="OB30">
        <f>IF(AND(OB$1="DATE",ISNUMBER(OC$1),COUNT(OB4,OB5,OB9,OB10)=4),1,0)</f>
        <v/>
      </c>
      <c r="OC30">
        <f>IF(AND(OC$1="DATE",ISNUMBER(OD$1),COUNT(OC4,OC5,OC9,OC10)=4),1,0)</f>
        <v/>
      </c>
      <c r="OD30">
        <f>IF(AND(OD$1="DATE",ISNUMBER(OE$1),COUNT(OD4,OD5,OD9,OD10)=4),1,0)</f>
        <v/>
      </c>
      <c r="OE30">
        <f>IF(AND(OE$1="DATE",ISNUMBER(OF$1),COUNT(OE4,OE5,OE9,OE10)=4),1,0)</f>
        <v/>
      </c>
      <c r="OF30">
        <f>IF(AND(OF$1="DATE",ISNUMBER(OG$1),COUNT(OF4,OF5,OF9,OF10)=4),1,0)</f>
        <v/>
      </c>
      <c r="OG30">
        <f>IF(AND(OG$1="DATE",ISNUMBER(OH$1),COUNT(OG4,OG5,OG9,OG10)=4),1,0)</f>
        <v/>
      </c>
      <c r="OH30">
        <f>IF(AND(OH$1="DATE",ISNUMBER(OI$1),COUNT(OH4,OH5,OH9,OH10)=4),1,0)</f>
        <v/>
      </c>
      <c r="OI30">
        <f>IF(AND(OI$1="DATE",ISNUMBER(OJ$1),COUNT(OI4,OI5,OI9,OI10)=4),1,0)</f>
        <v/>
      </c>
      <c r="OJ30">
        <f>IF(AND(OJ$1="DATE",ISNUMBER(OK$1),COUNT(OJ4,OJ5,OJ9,OJ10)=4),1,0)</f>
        <v/>
      </c>
    </row>
    <row r="31" hidden="1">
      <c r="A31">
        <f>IF(A30=1,SUM($A$30:A30),"")</f>
        <v/>
      </c>
      <c r="B31">
        <f>IF(B30=1,SUM($A$30:B30),"")</f>
        <v/>
      </c>
      <c r="C31">
        <f>IF(C30=1,SUM($A$30:C30),"")</f>
        <v/>
      </c>
      <c r="D31">
        <f>IF(D30=1,SUM($A$30:D30),"")</f>
        <v/>
      </c>
      <c r="E31">
        <f>IF(E30=1,SUM($A$30:E30),"")</f>
        <v/>
      </c>
      <c r="F31">
        <f>IF(F30=1,SUM($A$30:F30),"")</f>
        <v/>
      </c>
      <c r="G31">
        <f>IF(G30=1,SUM($A$30:G30),"")</f>
        <v/>
      </c>
      <c r="H31">
        <f>IF(H30=1,SUM($A$30:H30),"")</f>
        <v/>
      </c>
      <c r="I31">
        <f>IF(I30=1,SUM($A$30:I30),"")</f>
        <v/>
      </c>
      <c r="J31">
        <f>IF(J30=1,SUM($A$30:J30),"")</f>
        <v/>
      </c>
      <c r="K31">
        <f>IF(K30=1,SUM($A$30:K30),"")</f>
        <v/>
      </c>
      <c r="L31">
        <f>IF(L30=1,SUM($A$30:L30),"")</f>
        <v/>
      </c>
      <c r="M31">
        <f>IF(M30=1,SUM($A$30:M30),"")</f>
        <v/>
      </c>
      <c r="N31">
        <f>IF(N30=1,SUM($A$30:N30),"")</f>
        <v/>
      </c>
      <c r="O31">
        <f>IF(O30=1,SUM($A$30:O30),"")</f>
        <v/>
      </c>
      <c r="P31">
        <f>IF(P30=1,SUM($A$30:P30),"")</f>
        <v/>
      </c>
      <c r="Q31">
        <f>IF(Q30=1,SUM($A$30:Q30),"")</f>
        <v/>
      </c>
      <c r="R31">
        <f>IF(R30=1,SUM($A$30:R30),"")</f>
        <v/>
      </c>
      <c r="S31">
        <f>IF(S30=1,SUM($A$30:S30),"")</f>
        <v/>
      </c>
      <c r="T31">
        <f>IF(T30=1,SUM($A$30:T30),"")</f>
        <v/>
      </c>
      <c r="U31">
        <f>IF(U30=1,SUM($A$30:U30),"")</f>
        <v/>
      </c>
      <c r="V31">
        <f>IF(V30=1,SUM($A$30:V30),"")</f>
        <v/>
      </c>
      <c r="W31">
        <f>IF(W30=1,SUM($A$30:W30),"")</f>
        <v/>
      </c>
      <c r="X31">
        <f>IF(X30=1,SUM($A$30:X30),"")</f>
        <v/>
      </c>
      <c r="Y31">
        <f>IF(Y30=1,SUM($A$30:Y30),"")</f>
        <v/>
      </c>
      <c r="Z31">
        <f>IF(Z30=1,SUM($A$30:Z30),"")</f>
        <v/>
      </c>
      <c r="AA31">
        <f>IF(AA30=1,SUM($A$30:AA30),"")</f>
        <v/>
      </c>
      <c r="AB31">
        <f>IF(AB30=1,SUM($A$30:AB30),"")</f>
        <v/>
      </c>
      <c r="AC31">
        <f>IF(AC30=1,SUM($A$30:AC30),"")</f>
        <v/>
      </c>
      <c r="AD31">
        <f>IF(AD30=1,SUM($A$30:AD30),"")</f>
        <v/>
      </c>
      <c r="AE31">
        <f>IF(AE30=1,SUM($A$30:AE30),"")</f>
        <v/>
      </c>
      <c r="AF31">
        <f>IF(AF30=1,SUM($A$30:AF30),"")</f>
        <v/>
      </c>
      <c r="AG31">
        <f>IF(AG30=1,SUM($A$30:AG30),"")</f>
        <v/>
      </c>
      <c r="AH31">
        <f>IF(AH30=1,SUM($A$30:AH30),"")</f>
        <v/>
      </c>
      <c r="AI31">
        <f>IF(AI30=1,SUM($A$30:AI30),"")</f>
        <v/>
      </c>
      <c r="AJ31">
        <f>IF(AJ30=1,SUM($A$30:AJ30),"")</f>
        <v/>
      </c>
      <c r="AK31">
        <f>IF(AK30=1,SUM($A$30:AK30),"")</f>
        <v/>
      </c>
      <c r="AL31">
        <f>IF(AL30=1,SUM($A$30:AL30),"")</f>
        <v/>
      </c>
      <c r="AM31">
        <f>IF(AM30=1,SUM($A$30:AM30),"")</f>
        <v/>
      </c>
      <c r="AN31">
        <f>IF(AN30=1,SUM($A$30:AN30),"")</f>
        <v/>
      </c>
      <c r="AO31">
        <f>IF(AO30=1,SUM($A$30:AO30),"")</f>
        <v/>
      </c>
      <c r="AP31">
        <f>IF(AP30=1,SUM($A$30:AP30),"")</f>
        <v/>
      </c>
      <c r="AQ31">
        <f>IF(AQ30=1,SUM($A$30:AQ30),"")</f>
        <v/>
      </c>
      <c r="AR31">
        <f>IF(AR30=1,SUM($A$30:AR30),"")</f>
        <v/>
      </c>
      <c r="AS31">
        <f>IF(AS30=1,SUM($A$30:AS30),"")</f>
        <v/>
      </c>
      <c r="AT31">
        <f>IF(AT30=1,SUM($A$30:AT30),"")</f>
        <v/>
      </c>
      <c r="AU31">
        <f>IF(AU30=1,SUM($A$30:AU30),"")</f>
        <v/>
      </c>
      <c r="AV31">
        <f>IF(AV30=1,SUM($A$30:AV30),"")</f>
        <v/>
      </c>
      <c r="AW31">
        <f>IF(AW30=1,SUM($A$30:AW30),"")</f>
        <v/>
      </c>
      <c r="AX31">
        <f>IF(AX30=1,SUM($A$30:AX30),"")</f>
        <v/>
      </c>
      <c r="AY31">
        <f>IF(AY30=1,SUM($A$30:AY30),"")</f>
        <v/>
      </c>
      <c r="AZ31">
        <f>IF(AZ30=1,SUM($A$30:AZ30),"")</f>
        <v/>
      </c>
      <c r="BA31">
        <f>IF(BA30=1,SUM($A$30:BA30),"")</f>
        <v/>
      </c>
      <c r="BB31">
        <f>IF(BB30=1,SUM($A$30:BB30),"")</f>
        <v/>
      </c>
      <c r="BC31">
        <f>IF(BC30=1,SUM($A$30:BC30),"")</f>
        <v/>
      </c>
      <c r="BD31">
        <f>IF(BD30=1,SUM($A$30:BD30),"")</f>
        <v/>
      </c>
      <c r="BE31">
        <f>IF(BE30=1,SUM($A$30:BE30),"")</f>
        <v/>
      </c>
      <c r="BF31">
        <f>IF(BF30=1,SUM($A$30:BF30),"")</f>
        <v/>
      </c>
      <c r="BG31">
        <f>IF(BG30=1,SUM($A$30:BG30),"")</f>
        <v/>
      </c>
      <c r="BH31">
        <f>IF(BH30=1,SUM($A$30:BH30),"")</f>
        <v/>
      </c>
      <c r="BI31">
        <f>IF(BI30=1,SUM($A$30:BI30),"")</f>
        <v/>
      </c>
      <c r="BJ31">
        <f>IF(BJ30=1,SUM($A$30:BJ30),"")</f>
        <v/>
      </c>
      <c r="BK31">
        <f>IF(BK30=1,SUM($A$30:BK30),"")</f>
        <v/>
      </c>
      <c r="BL31">
        <f>IF(BL30=1,SUM($A$30:BL30),"")</f>
        <v/>
      </c>
      <c r="BM31">
        <f>IF(BM30=1,SUM($A$30:BM30),"")</f>
        <v/>
      </c>
      <c r="BN31">
        <f>IF(BN30=1,SUM($A$30:BN30),"")</f>
        <v/>
      </c>
      <c r="BO31">
        <f>IF(BO30=1,SUM($A$30:BO30),"")</f>
        <v/>
      </c>
      <c r="BP31">
        <f>IF(BP30=1,SUM($A$30:BP30),"")</f>
        <v/>
      </c>
      <c r="BQ31">
        <f>IF(BQ30=1,SUM($A$30:BQ30),"")</f>
        <v/>
      </c>
      <c r="BR31">
        <f>IF(BR30=1,SUM($A$30:BR30),"")</f>
        <v/>
      </c>
      <c r="BS31">
        <f>IF(BS30=1,SUM($A$30:BS30),"")</f>
        <v/>
      </c>
      <c r="BT31">
        <f>IF(BT30=1,SUM($A$30:BT30),"")</f>
        <v/>
      </c>
      <c r="BU31">
        <f>IF(BU30=1,SUM($A$30:BU30),"")</f>
        <v/>
      </c>
      <c r="BV31">
        <f>IF(BV30=1,SUM($A$30:BV30),"")</f>
        <v/>
      </c>
      <c r="BW31">
        <f>IF(BW30=1,SUM($A$30:BW30),"")</f>
        <v/>
      </c>
      <c r="BX31">
        <f>IF(BX30=1,SUM($A$30:BX30),"")</f>
        <v/>
      </c>
      <c r="BY31">
        <f>IF(BY30=1,SUM($A$30:BY30),"")</f>
        <v/>
      </c>
      <c r="BZ31">
        <f>IF(BZ30=1,SUM($A$30:BZ30),"")</f>
        <v/>
      </c>
      <c r="CA31">
        <f>IF(CA30=1,SUM($A$30:CA30),"")</f>
        <v/>
      </c>
      <c r="CB31">
        <f>IF(CB30=1,SUM($A$30:CB30),"")</f>
        <v/>
      </c>
      <c r="CC31">
        <f>IF(CC30=1,SUM($A$30:CC30),"")</f>
        <v/>
      </c>
      <c r="CD31">
        <f>IF(CD30=1,SUM($A$30:CD30),"")</f>
        <v/>
      </c>
      <c r="CE31">
        <f>IF(CE30=1,SUM($A$30:CE30),"")</f>
        <v/>
      </c>
      <c r="CF31">
        <f>IF(CF30=1,SUM($A$30:CF30),"")</f>
        <v/>
      </c>
      <c r="CG31">
        <f>IF(CG30=1,SUM($A$30:CG30),"")</f>
        <v/>
      </c>
      <c r="CH31">
        <f>IF(CH30=1,SUM($A$30:CH30),"")</f>
        <v/>
      </c>
      <c r="CI31">
        <f>IF(CI30=1,SUM($A$30:CI30),"")</f>
        <v/>
      </c>
      <c r="CJ31">
        <f>IF(CJ30=1,SUM($A$30:CJ30),"")</f>
        <v/>
      </c>
      <c r="CK31">
        <f>IF(CK30=1,SUM($A$30:CK30),"")</f>
        <v/>
      </c>
      <c r="CL31">
        <f>IF(CL30=1,SUM($A$30:CL30),"")</f>
        <v/>
      </c>
      <c r="CM31">
        <f>IF(CM30=1,SUM($A$30:CM30),"")</f>
        <v/>
      </c>
      <c r="CN31">
        <f>IF(CN30=1,SUM($A$30:CN30),"")</f>
        <v/>
      </c>
      <c r="CO31">
        <f>IF(CO30=1,SUM($A$30:CO30),"")</f>
        <v/>
      </c>
      <c r="CP31">
        <f>IF(CP30=1,SUM($A$30:CP30),"")</f>
        <v/>
      </c>
      <c r="CQ31">
        <f>IF(CQ30=1,SUM($A$30:CQ30),"")</f>
        <v/>
      </c>
      <c r="CR31">
        <f>IF(CR30=1,SUM($A$30:CR30),"")</f>
        <v/>
      </c>
      <c r="CS31">
        <f>IF(CS30=1,SUM($A$30:CS30),"")</f>
        <v/>
      </c>
      <c r="CT31">
        <f>IF(CT30=1,SUM($A$30:CT30),"")</f>
        <v/>
      </c>
      <c r="CU31">
        <f>IF(CU30=1,SUM($A$30:CU30),"")</f>
        <v/>
      </c>
      <c r="CV31">
        <f>IF(CV30=1,SUM($A$30:CV30),"")</f>
        <v/>
      </c>
      <c r="CW31">
        <f>IF(CW30=1,SUM($A$30:CW30),"")</f>
        <v/>
      </c>
      <c r="CX31">
        <f>IF(CX30=1,SUM($A$30:CX30),"")</f>
        <v/>
      </c>
      <c r="CY31">
        <f>IF(CY30=1,SUM($A$30:CY30),"")</f>
        <v/>
      </c>
      <c r="CZ31">
        <f>IF(CZ30=1,SUM($A$30:CZ30),"")</f>
        <v/>
      </c>
      <c r="DA31">
        <f>IF(DA30=1,SUM($A$30:DA30),"")</f>
        <v/>
      </c>
      <c r="DB31">
        <f>IF(DB30=1,SUM($A$30:DB30),"")</f>
        <v/>
      </c>
      <c r="DC31">
        <f>IF(DC30=1,SUM($A$30:DC30),"")</f>
        <v/>
      </c>
      <c r="DD31">
        <f>IF(DD30=1,SUM($A$30:DD30),"")</f>
        <v/>
      </c>
      <c r="DE31">
        <f>IF(DE30=1,SUM($A$30:DE30),"")</f>
        <v/>
      </c>
      <c r="DF31">
        <f>IF(DF30=1,SUM($A$30:DF30),"")</f>
        <v/>
      </c>
      <c r="DG31">
        <f>IF(DG30=1,SUM($A$30:DG30),"")</f>
        <v/>
      </c>
      <c r="DH31">
        <f>IF(DH30=1,SUM($A$30:DH30),"")</f>
        <v/>
      </c>
      <c r="DI31">
        <f>IF(DI30=1,SUM($A$30:DI30),"")</f>
        <v/>
      </c>
      <c r="DJ31">
        <f>IF(DJ30=1,SUM($A$30:DJ30),"")</f>
        <v/>
      </c>
      <c r="DK31">
        <f>IF(DK30=1,SUM($A$30:DK30),"")</f>
        <v/>
      </c>
      <c r="DL31">
        <f>IF(DL30=1,SUM($A$30:DL30),"")</f>
        <v/>
      </c>
      <c r="DM31">
        <f>IF(DM30=1,SUM($A$30:DM30),"")</f>
        <v/>
      </c>
      <c r="DN31">
        <f>IF(DN30=1,SUM($A$30:DN30),"")</f>
        <v/>
      </c>
      <c r="DO31">
        <f>IF(DO30=1,SUM($A$30:DO30),"")</f>
        <v/>
      </c>
      <c r="DP31">
        <f>IF(DP30=1,SUM($A$30:DP30),"")</f>
        <v/>
      </c>
      <c r="DQ31">
        <f>IF(DQ30=1,SUM($A$30:DQ30),"")</f>
        <v/>
      </c>
      <c r="DR31">
        <f>IF(DR30=1,SUM($A$30:DR30),"")</f>
        <v/>
      </c>
      <c r="DS31">
        <f>IF(DS30=1,SUM($A$30:DS30),"")</f>
        <v/>
      </c>
      <c r="DT31">
        <f>IF(DT30=1,SUM($A$30:DT30),"")</f>
        <v/>
      </c>
      <c r="DU31">
        <f>IF(DU30=1,SUM($A$30:DU30),"")</f>
        <v/>
      </c>
      <c r="DV31">
        <f>IF(DV30=1,SUM($A$30:DV30),"")</f>
        <v/>
      </c>
      <c r="DW31">
        <f>IF(DW30=1,SUM($A$30:DW30),"")</f>
        <v/>
      </c>
      <c r="DX31">
        <f>IF(DX30=1,SUM($A$30:DX30),"")</f>
        <v/>
      </c>
      <c r="DY31">
        <f>IF(DY30=1,SUM($A$30:DY30),"")</f>
        <v/>
      </c>
      <c r="DZ31">
        <f>IF(DZ30=1,SUM($A$30:DZ30),"")</f>
        <v/>
      </c>
      <c r="EA31">
        <f>IF(EA30=1,SUM($A$30:EA30),"")</f>
        <v/>
      </c>
      <c r="EB31">
        <f>IF(EB30=1,SUM($A$30:EB30),"")</f>
        <v/>
      </c>
      <c r="EC31">
        <f>IF(EC30=1,SUM($A$30:EC30),"")</f>
        <v/>
      </c>
      <c r="ED31">
        <f>IF(ED30=1,SUM($A$30:ED30),"")</f>
        <v/>
      </c>
      <c r="EE31">
        <f>IF(EE30=1,SUM($A$30:EE30),"")</f>
        <v/>
      </c>
      <c r="EF31">
        <f>IF(EF30=1,SUM($A$30:EF30),"")</f>
        <v/>
      </c>
      <c r="EG31">
        <f>IF(EG30=1,SUM($A$30:EG30),"")</f>
        <v/>
      </c>
      <c r="EH31">
        <f>IF(EH30=1,SUM($A$30:EH30),"")</f>
        <v/>
      </c>
      <c r="EI31">
        <f>IF(EI30=1,SUM($A$30:EI30),"")</f>
        <v/>
      </c>
      <c r="EJ31">
        <f>IF(EJ30=1,SUM($A$30:EJ30),"")</f>
        <v/>
      </c>
      <c r="EK31">
        <f>IF(EK30=1,SUM($A$30:EK30),"")</f>
        <v/>
      </c>
      <c r="EL31">
        <f>IF(EL30=1,SUM($A$30:EL30),"")</f>
        <v/>
      </c>
      <c r="EM31">
        <f>IF(EM30=1,SUM($A$30:EM30),"")</f>
        <v/>
      </c>
      <c r="EN31">
        <f>IF(EN30=1,SUM($A$30:EN30),"")</f>
        <v/>
      </c>
      <c r="EO31">
        <f>IF(EO30=1,SUM($A$30:EO30),"")</f>
        <v/>
      </c>
      <c r="EP31">
        <f>IF(EP30=1,SUM($A$30:EP30),"")</f>
        <v/>
      </c>
      <c r="EQ31">
        <f>IF(EQ30=1,SUM($A$30:EQ30),"")</f>
        <v/>
      </c>
      <c r="ER31">
        <f>IF(ER30=1,SUM($A$30:ER30),"")</f>
        <v/>
      </c>
      <c r="ES31">
        <f>IF(ES30=1,SUM($A$30:ES30),"")</f>
        <v/>
      </c>
      <c r="ET31">
        <f>IF(ET30=1,SUM($A$30:ET30),"")</f>
        <v/>
      </c>
      <c r="EU31">
        <f>IF(EU30=1,SUM($A$30:EU30),"")</f>
        <v/>
      </c>
      <c r="EV31">
        <f>IF(EV30=1,SUM($A$30:EV30),"")</f>
        <v/>
      </c>
      <c r="EW31">
        <f>IF(EW30=1,SUM($A$30:EW30),"")</f>
        <v/>
      </c>
      <c r="EX31">
        <f>IF(EX30=1,SUM($A$30:EX30),"")</f>
        <v/>
      </c>
      <c r="EY31">
        <f>IF(EY30=1,SUM($A$30:EY30),"")</f>
        <v/>
      </c>
      <c r="EZ31">
        <f>IF(EZ30=1,SUM($A$30:EZ30),"")</f>
        <v/>
      </c>
      <c r="FA31">
        <f>IF(FA30=1,SUM($A$30:FA30),"")</f>
        <v/>
      </c>
      <c r="FB31">
        <f>IF(FB30=1,SUM($A$30:FB30),"")</f>
        <v/>
      </c>
      <c r="FC31">
        <f>IF(FC30=1,SUM($A$30:FC30),"")</f>
        <v/>
      </c>
      <c r="FD31">
        <f>IF(FD30=1,SUM($A$30:FD30),"")</f>
        <v/>
      </c>
      <c r="FE31">
        <f>IF(FE30=1,SUM($A$30:FE30),"")</f>
        <v/>
      </c>
      <c r="FF31">
        <f>IF(FF30=1,SUM($A$30:FF30),"")</f>
        <v/>
      </c>
      <c r="FG31">
        <f>IF(FG30=1,SUM($A$30:FG30),"")</f>
        <v/>
      </c>
      <c r="FH31">
        <f>IF(FH30=1,SUM($A$30:FH30),"")</f>
        <v/>
      </c>
      <c r="FI31">
        <f>IF(FI30=1,SUM($A$30:FI30),"")</f>
        <v/>
      </c>
      <c r="FJ31">
        <f>IF(FJ30=1,SUM($A$30:FJ30),"")</f>
        <v/>
      </c>
      <c r="FK31">
        <f>IF(FK30=1,SUM($A$30:FK30),"")</f>
        <v/>
      </c>
      <c r="FL31">
        <f>IF(FL30=1,SUM($A$30:FL30),"")</f>
        <v/>
      </c>
      <c r="FM31">
        <f>IF(FM30=1,SUM($A$30:FM30),"")</f>
        <v/>
      </c>
      <c r="FN31">
        <f>IF(FN30=1,SUM($A$30:FN30),"")</f>
        <v/>
      </c>
      <c r="FO31">
        <f>IF(FO30=1,SUM($A$30:FO30),"")</f>
        <v/>
      </c>
      <c r="FP31">
        <f>IF(FP30=1,SUM($A$30:FP30),"")</f>
        <v/>
      </c>
      <c r="FQ31">
        <f>IF(FQ30=1,SUM($A$30:FQ30),"")</f>
        <v/>
      </c>
      <c r="FR31">
        <f>IF(FR30=1,SUM($A$30:FR30),"")</f>
        <v/>
      </c>
      <c r="FS31">
        <f>IF(FS30=1,SUM($A$30:FS30),"")</f>
        <v/>
      </c>
      <c r="FT31">
        <f>IF(FT30=1,SUM($A$30:FT30),"")</f>
        <v/>
      </c>
      <c r="FU31">
        <f>IF(FU30=1,SUM($A$30:FU30),"")</f>
        <v/>
      </c>
      <c r="FV31">
        <f>IF(FV30=1,SUM($A$30:FV30),"")</f>
        <v/>
      </c>
      <c r="FW31">
        <f>IF(FW30=1,SUM($A$30:FW30),"")</f>
        <v/>
      </c>
      <c r="FX31">
        <f>IF(FX30=1,SUM($A$30:FX30),"")</f>
        <v/>
      </c>
      <c r="FY31">
        <f>IF(FY30=1,SUM($A$30:FY30),"")</f>
        <v/>
      </c>
      <c r="FZ31">
        <f>IF(FZ30=1,SUM($A$30:FZ30),"")</f>
        <v/>
      </c>
      <c r="GA31">
        <f>IF(GA30=1,SUM($A$30:GA30),"")</f>
        <v/>
      </c>
      <c r="GB31">
        <f>IF(GB30=1,SUM($A$30:GB30),"")</f>
        <v/>
      </c>
      <c r="GC31">
        <f>IF(GC30=1,SUM($A$30:GC30),"")</f>
        <v/>
      </c>
      <c r="GD31">
        <f>IF(GD30=1,SUM($A$30:GD30),"")</f>
        <v/>
      </c>
      <c r="GE31">
        <f>IF(GE30=1,SUM($A$30:GE30),"")</f>
        <v/>
      </c>
      <c r="GF31">
        <f>IF(GF30=1,SUM($A$30:GF30),"")</f>
        <v/>
      </c>
      <c r="GG31">
        <f>IF(GG30=1,SUM($A$30:GG30),"")</f>
        <v/>
      </c>
      <c r="GH31">
        <f>IF(GH30=1,SUM($A$30:GH30),"")</f>
        <v/>
      </c>
      <c r="GI31">
        <f>IF(GI30=1,SUM($A$30:GI30),"")</f>
        <v/>
      </c>
      <c r="GJ31">
        <f>IF(GJ30=1,SUM($A$30:GJ30),"")</f>
        <v/>
      </c>
      <c r="GK31">
        <f>IF(GK30=1,SUM($A$30:GK30),"")</f>
        <v/>
      </c>
      <c r="GL31">
        <f>IF(GL30=1,SUM($A$30:GL30),"")</f>
        <v/>
      </c>
      <c r="GM31">
        <f>IF(GM30=1,SUM($A$30:GM30),"")</f>
        <v/>
      </c>
      <c r="GN31">
        <f>IF(GN30=1,SUM($A$30:GN30),"")</f>
        <v/>
      </c>
      <c r="GO31">
        <f>IF(GO30=1,SUM($A$30:GO30),"")</f>
        <v/>
      </c>
      <c r="GP31">
        <f>IF(GP30=1,SUM($A$30:GP30),"")</f>
        <v/>
      </c>
      <c r="GQ31">
        <f>IF(GQ30=1,SUM($A$30:GQ30),"")</f>
        <v/>
      </c>
      <c r="GR31">
        <f>IF(GR30=1,SUM($A$30:GR30),"")</f>
        <v/>
      </c>
      <c r="GS31">
        <f>IF(GS30=1,SUM($A$30:GS30),"")</f>
        <v/>
      </c>
      <c r="GT31">
        <f>IF(GT30=1,SUM($A$30:GT30),"")</f>
        <v/>
      </c>
      <c r="GU31">
        <f>IF(GU30=1,SUM($A$30:GU30),"")</f>
        <v/>
      </c>
      <c r="GV31">
        <f>IF(GV30=1,SUM($A$30:GV30),"")</f>
        <v/>
      </c>
      <c r="GW31">
        <f>IF(GW30=1,SUM($A$30:GW30),"")</f>
        <v/>
      </c>
      <c r="GX31">
        <f>IF(GX30=1,SUM($A$30:GX30),"")</f>
        <v/>
      </c>
      <c r="GY31">
        <f>IF(GY30=1,SUM($A$30:GY30),"")</f>
        <v/>
      </c>
      <c r="GZ31">
        <f>IF(GZ30=1,SUM($A$30:GZ30),"")</f>
        <v/>
      </c>
      <c r="HA31">
        <f>IF(HA30=1,SUM($A$30:HA30),"")</f>
        <v/>
      </c>
      <c r="HB31">
        <f>IF(HB30=1,SUM($A$30:HB30),"")</f>
        <v/>
      </c>
      <c r="HC31">
        <f>IF(HC30=1,SUM($A$30:HC30),"")</f>
        <v/>
      </c>
      <c r="HD31">
        <f>IF(HD30=1,SUM($A$30:HD30),"")</f>
        <v/>
      </c>
      <c r="HE31">
        <f>IF(HE30=1,SUM($A$30:HE30),"")</f>
        <v/>
      </c>
      <c r="HF31">
        <f>IF(HF30=1,SUM($A$30:HF30),"")</f>
        <v/>
      </c>
      <c r="HG31">
        <f>IF(HG30=1,SUM($A$30:HG30),"")</f>
        <v/>
      </c>
      <c r="HH31">
        <f>IF(HH30=1,SUM($A$30:HH30),"")</f>
        <v/>
      </c>
      <c r="HI31">
        <f>IF(HI30=1,SUM($A$30:HI30),"")</f>
        <v/>
      </c>
      <c r="HJ31">
        <f>IF(HJ30=1,SUM($A$30:HJ30),"")</f>
        <v/>
      </c>
      <c r="HK31">
        <f>IF(HK30=1,SUM($A$30:HK30),"")</f>
        <v/>
      </c>
      <c r="HL31">
        <f>IF(HL30=1,SUM($A$30:HL30),"")</f>
        <v/>
      </c>
      <c r="HM31">
        <f>IF(HM30=1,SUM($A$30:HM30),"")</f>
        <v/>
      </c>
      <c r="HN31">
        <f>IF(HN30=1,SUM($A$30:HN30),"")</f>
        <v/>
      </c>
      <c r="HO31">
        <f>IF(HO30=1,SUM($A$30:HO30),"")</f>
        <v/>
      </c>
      <c r="HP31">
        <f>IF(HP30=1,SUM($A$30:HP30),"")</f>
        <v/>
      </c>
      <c r="HQ31">
        <f>IF(HQ30=1,SUM($A$30:HQ30),"")</f>
        <v/>
      </c>
      <c r="HR31">
        <f>IF(HR30=1,SUM($A$30:HR30),"")</f>
        <v/>
      </c>
      <c r="HS31">
        <f>IF(HS30=1,SUM($A$30:HS30),"")</f>
        <v/>
      </c>
      <c r="HT31">
        <f>IF(HT30=1,SUM($A$30:HT30),"")</f>
        <v/>
      </c>
      <c r="HU31">
        <f>IF(HU30=1,SUM($A$30:HU30),"")</f>
        <v/>
      </c>
      <c r="HV31">
        <f>IF(HV30=1,SUM($A$30:HV30),"")</f>
        <v/>
      </c>
      <c r="HW31">
        <f>IF(HW30=1,SUM($A$30:HW30),"")</f>
        <v/>
      </c>
      <c r="HX31">
        <f>IF(HX30=1,SUM($A$30:HX30),"")</f>
        <v/>
      </c>
      <c r="HY31">
        <f>IF(HY30=1,SUM($A$30:HY30),"")</f>
        <v/>
      </c>
      <c r="HZ31">
        <f>IF(HZ30=1,SUM($A$30:HZ30),"")</f>
        <v/>
      </c>
      <c r="IA31">
        <f>IF(IA30=1,SUM($A$30:IA30),"")</f>
        <v/>
      </c>
      <c r="IB31">
        <f>IF(IB30=1,SUM($A$30:IB30),"")</f>
        <v/>
      </c>
      <c r="IC31">
        <f>IF(IC30=1,SUM($A$30:IC30),"")</f>
        <v/>
      </c>
      <c r="ID31">
        <f>IF(ID30=1,SUM($A$30:ID30),"")</f>
        <v/>
      </c>
      <c r="IE31">
        <f>IF(IE30=1,SUM($A$30:IE30),"")</f>
        <v/>
      </c>
      <c r="IF31">
        <f>IF(IF30=1,SUM($A$30:IF30),"")</f>
        <v/>
      </c>
      <c r="IG31">
        <f>IF(IG30=1,SUM($A$30:IG30),"")</f>
        <v/>
      </c>
      <c r="IH31">
        <f>IF(IH30=1,SUM($A$30:IH30),"")</f>
        <v/>
      </c>
      <c r="II31">
        <f>IF(II30=1,SUM($A$30:II30),"")</f>
        <v/>
      </c>
      <c r="IJ31">
        <f>IF(IJ30=1,SUM($A$30:IJ30),"")</f>
        <v/>
      </c>
      <c r="IK31">
        <f>IF(IK30=1,SUM($A$30:IK30),"")</f>
        <v/>
      </c>
      <c r="IL31">
        <f>IF(IL30=1,SUM($A$30:IL30),"")</f>
        <v/>
      </c>
      <c r="IM31">
        <f>IF(IM30=1,SUM($A$30:IM30),"")</f>
        <v/>
      </c>
      <c r="IN31">
        <f>IF(IN30=1,SUM($A$30:IN30),"")</f>
        <v/>
      </c>
      <c r="IO31">
        <f>IF(IO30=1,SUM($A$30:IO30),"")</f>
        <v/>
      </c>
      <c r="IP31">
        <f>IF(IP30=1,SUM($A$30:IP30),"")</f>
        <v/>
      </c>
      <c r="IQ31">
        <f>IF(IQ30=1,SUM($A$30:IQ30),"")</f>
        <v/>
      </c>
      <c r="IR31">
        <f>IF(IR30=1,SUM($A$30:IR30),"")</f>
        <v/>
      </c>
      <c r="IS31">
        <f>IF(IS30=1,SUM($A$30:IS30),"")</f>
        <v/>
      </c>
      <c r="IT31">
        <f>IF(IT30=1,SUM($A$30:IT30),"")</f>
        <v/>
      </c>
      <c r="IU31">
        <f>IF(IU30=1,SUM($A$30:IU30),"")</f>
        <v/>
      </c>
      <c r="IV31">
        <f>IF(IV30=1,SUM($A$30:IV30),"")</f>
        <v/>
      </c>
      <c r="IW31">
        <f>IF(IW30=1,SUM($A$30:IW30),"")</f>
        <v/>
      </c>
      <c r="IX31">
        <f>IF(IX30=1,SUM($A$30:IX30),"")</f>
        <v/>
      </c>
      <c r="IY31">
        <f>IF(IY30=1,SUM($A$30:IY30),"")</f>
        <v/>
      </c>
      <c r="IZ31">
        <f>IF(IZ30=1,SUM($A$30:IZ30),"")</f>
        <v/>
      </c>
      <c r="JA31">
        <f>IF(JA30=1,SUM($A$30:JA30),"")</f>
        <v/>
      </c>
      <c r="JB31">
        <f>IF(JB30=1,SUM($A$30:JB30),"")</f>
        <v/>
      </c>
      <c r="JC31">
        <f>IF(JC30=1,SUM($A$30:JC30),"")</f>
        <v/>
      </c>
      <c r="JD31">
        <f>IF(JD30=1,SUM($A$30:JD30),"")</f>
        <v/>
      </c>
      <c r="JE31">
        <f>IF(JE30=1,SUM($A$30:JE30),"")</f>
        <v/>
      </c>
      <c r="JF31">
        <f>IF(JF30=1,SUM($A$30:JF30),"")</f>
        <v/>
      </c>
      <c r="JG31">
        <f>IF(JG30=1,SUM($A$30:JG30),"")</f>
        <v/>
      </c>
      <c r="JH31">
        <f>IF(JH30=1,SUM($A$30:JH30),"")</f>
        <v/>
      </c>
      <c r="JI31">
        <f>IF(JI30=1,SUM($A$30:JI30),"")</f>
        <v/>
      </c>
      <c r="JJ31">
        <f>IF(JJ30=1,SUM($A$30:JJ30),"")</f>
        <v/>
      </c>
      <c r="JK31">
        <f>IF(JK30=1,SUM($A$30:JK30),"")</f>
        <v/>
      </c>
      <c r="JL31">
        <f>IF(JL30=1,SUM($A$30:JL30),"")</f>
        <v/>
      </c>
      <c r="JM31">
        <f>IF(JM30=1,SUM($A$30:JM30),"")</f>
        <v/>
      </c>
      <c r="JN31">
        <f>IF(JN30=1,SUM($A$30:JN30),"")</f>
        <v/>
      </c>
      <c r="JO31">
        <f>IF(JO30=1,SUM($A$30:JO30),"")</f>
        <v/>
      </c>
      <c r="JP31">
        <f>IF(JP30=1,SUM($A$30:JP30),"")</f>
        <v/>
      </c>
      <c r="JQ31">
        <f>IF(JQ30=1,SUM($A$30:JQ30),"")</f>
        <v/>
      </c>
      <c r="JR31">
        <f>IF(JR30=1,SUM($A$30:JR30),"")</f>
        <v/>
      </c>
      <c r="JS31">
        <f>IF(JS30=1,SUM($A$30:JS30),"")</f>
        <v/>
      </c>
      <c r="JT31">
        <f>IF(JT30=1,SUM($A$30:JT30),"")</f>
        <v/>
      </c>
      <c r="JU31">
        <f>IF(JU30=1,SUM($A$30:JU30),"")</f>
        <v/>
      </c>
      <c r="JV31">
        <f>IF(JV30=1,SUM($A$30:JV30),"")</f>
        <v/>
      </c>
      <c r="JW31">
        <f>IF(JW30=1,SUM($A$30:JW30),"")</f>
        <v/>
      </c>
      <c r="JX31">
        <f>IF(JX30=1,SUM($A$30:JX30),"")</f>
        <v/>
      </c>
      <c r="JY31">
        <f>IF(JY30=1,SUM($A$30:JY30),"")</f>
        <v/>
      </c>
      <c r="JZ31">
        <f>IF(JZ30=1,SUM($A$30:JZ30),"")</f>
        <v/>
      </c>
      <c r="KA31">
        <f>IF(KA30=1,SUM($A$30:KA30),"")</f>
        <v/>
      </c>
      <c r="KB31">
        <f>IF(KB30=1,SUM($A$30:KB30),"")</f>
        <v/>
      </c>
      <c r="KC31">
        <f>IF(KC30=1,SUM($A$30:KC30),"")</f>
        <v/>
      </c>
      <c r="KD31">
        <f>IF(KD30=1,SUM($A$30:KD30),"")</f>
        <v/>
      </c>
      <c r="KE31">
        <f>IF(KE30=1,SUM($A$30:KE30),"")</f>
        <v/>
      </c>
      <c r="KF31">
        <f>IF(KF30=1,SUM($A$30:KF30),"")</f>
        <v/>
      </c>
      <c r="KG31">
        <f>IF(KG30=1,SUM($A$30:KG30),"")</f>
        <v/>
      </c>
      <c r="KH31">
        <f>IF(KH30=1,SUM($A$30:KH30),"")</f>
        <v/>
      </c>
      <c r="KI31">
        <f>IF(KI30=1,SUM($A$30:KI30),"")</f>
        <v/>
      </c>
      <c r="KJ31">
        <f>IF(KJ30=1,SUM($A$30:KJ30),"")</f>
        <v/>
      </c>
      <c r="KK31">
        <f>IF(KK30=1,SUM($A$30:KK30),"")</f>
        <v/>
      </c>
      <c r="KL31">
        <f>IF(KL30=1,SUM($A$30:KL30),"")</f>
        <v/>
      </c>
      <c r="KM31">
        <f>IF(KM30=1,SUM($A$30:KM30),"")</f>
        <v/>
      </c>
      <c r="KN31">
        <f>IF(KN30=1,SUM($A$30:KN30),"")</f>
        <v/>
      </c>
      <c r="KO31">
        <f>IF(KO30=1,SUM($A$30:KO30),"")</f>
        <v/>
      </c>
      <c r="KP31">
        <f>IF(KP30=1,SUM($A$30:KP30),"")</f>
        <v/>
      </c>
      <c r="KQ31">
        <f>IF(KQ30=1,SUM($A$30:KQ30),"")</f>
        <v/>
      </c>
      <c r="KR31">
        <f>IF(KR30=1,SUM($A$30:KR30),"")</f>
        <v/>
      </c>
      <c r="KS31">
        <f>IF(KS30=1,SUM($A$30:KS30),"")</f>
        <v/>
      </c>
      <c r="KT31">
        <f>IF(KT30=1,SUM($A$30:KT30),"")</f>
        <v/>
      </c>
      <c r="KU31">
        <f>IF(KU30=1,SUM($A$30:KU30),"")</f>
        <v/>
      </c>
      <c r="KV31">
        <f>IF(KV30=1,SUM($A$30:KV30),"")</f>
        <v/>
      </c>
      <c r="KW31">
        <f>IF(KW30=1,SUM($A$30:KW30),"")</f>
        <v/>
      </c>
      <c r="KX31">
        <f>IF(KX30=1,SUM($A$30:KX30),"")</f>
        <v/>
      </c>
      <c r="KY31">
        <f>IF(KY30=1,SUM($A$30:KY30),"")</f>
        <v/>
      </c>
      <c r="KZ31">
        <f>IF(KZ30=1,SUM($A$30:KZ30),"")</f>
        <v/>
      </c>
      <c r="LA31">
        <f>IF(LA30=1,SUM($A$30:LA30),"")</f>
        <v/>
      </c>
      <c r="LB31">
        <f>IF(LB30=1,SUM($A$30:LB30),"")</f>
        <v/>
      </c>
      <c r="LC31">
        <f>IF(LC30=1,SUM($A$30:LC30),"")</f>
        <v/>
      </c>
      <c r="LD31">
        <f>IF(LD30=1,SUM($A$30:LD30),"")</f>
        <v/>
      </c>
      <c r="LE31">
        <f>IF(LE30=1,SUM($A$30:LE30),"")</f>
        <v/>
      </c>
      <c r="LF31">
        <f>IF(LF30=1,SUM($A$30:LF30),"")</f>
        <v/>
      </c>
      <c r="LG31">
        <f>IF(LG30=1,SUM($A$30:LG30),"")</f>
        <v/>
      </c>
      <c r="LH31">
        <f>IF(LH30=1,SUM($A$30:LH30),"")</f>
        <v/>
      </c>
      <c r="LI31">
        <f>IF(LI30=1,SUM($A$30:LI30),"")</f>
        <v/>
      </c>
      <c r="LJ31">
        <f>IF(LJ30=1,SUM($A$30:LJ30),"")</f>
        <v/>
      </c>
      <c r="LK31">
        <f>IF(LK30=1,SUM($A$30:LK30),"")</f>
        <v/>
      </c>
      <c r="LL31">
        <f>IF(LL30=1,SUM($A$30:LL30),"")</f>
        <v/>
      </c>
      <c r="LM31">
        <f>IF(LM30=1,SUM($A$30:LM30),"")</f>
        <v/>
      </c>
      <c r="LN31">
        <f>IF(LN30=1,SUM($A$30:LN30),"")</f>
        <v/>
      </c>
      <c r="LO31">
        <f>IF(LO30=1,SUM($A$30:LO30),"")</f>
        <v/>
      </c>
      <c r="LP31">
        <f>IF(LP30=1,SUM($A$30:LP30),"")</f>
        <v/>
      </c>
      <c r="LQ31">
        <f>IF(LQ30=1,SUM($A$30:LQ30),"")</f>
        <v/>
      </c>
      <c r="LR31">
        <f>IF(LR30=1,SUM($A$30:LR30),"")</f>
        <v/>
      </c>
      <c r="LS31">
        <f>IF(LS30=1,SUM($A$30:LS30),"")</f>
        <v/>
      </c>
      <c r="LT31">
        <f>IF(LT30=1,SUM($A$30:LT30),"")</f>
        <v/>
      </c>
      <c r="LU31">
        <f>IF(LU30=1,SUM($A$30:LU30),"")</f>
        <v/>
      </c>
      <c r="LV31">
        <f>IF(LV30=1,SUM($A$30:LV30),"")</f>
        <v/>
      </c>
      <c r="LW31">
        <f>IF(LW30=1,SUM($A$30:LW30),"")</f>
        <v/>
      </c>
      <c r="LX31">
        <f>IF(LX30=1,SUM($A$30:LX30),"")</f>
        <v/>
      </c>
      <c r="LY31">
        <f>IF(LY30=1,SUM($A$30:LY30),"")</f>
        <v/>
      </c>
      <c r="LZ31">
        <f>IF(LZ30=1,SUM($A$30:LZ30),"")</f>
        <v/>
      </c>
      <c r="MA31">
        <f>IF(MA30=1,SUM($A$30:MA30),"")</f>
        <v/>
      </c>
      <c r="MB31">
        <f>IF(MB30=1,SUM($A$30:MB30),"")</f>
        <v/>
      </c>
      <c r="MC31">
        <f>IF(MC30=1,SUM($A$30:MC30),"")</f>
        <v/>
      </c>
      <c r="MD31">
        <f>IF(MD30=1,SUM($A$30:MD30),"")</f>
        <v/>
      </c>
      <c r="ME31">
        <f>IF(ME30=1,SUM($A$30:ME30),"")</f>
        <v/>
      </c>
      <c r="MF31">
        <f>IF(MF30=1,SUM($A$30:MF30),"")</f>
        <v/>
      </c>
      <c r="MG31">
        <f>IF(MG30=1,SUM($A$30:MG30),"")</f>
        <v/>
      </c>
      <c r="MH31">
        <f>IF(MH30=1,SUM($A$30:MH30),"")</f>
        <v/>
      </c>
      <c r="MI31">
        <f>IF(MI30=1,SUM($A$30:MI30),"")</f>
        <v/>
      </c>
      <c r="MJ31">
        <f>IF(MJ30=1,SUM($A$30:MJ30),"")</f>
        <v/>
      </c>
      <c r="MK31">
        <f>IF(MK30=1,SUM($A$30:MK30),"")</f>
        <v/>
      </c>
      <c r="ML31">
        <f>IF(ML30=1,SUM($A$30:ML30),"")</f>
        <v/>
      </c>
      <c r="MM31">
        <f>IF(MM30=1,SUM($A$30:MM30),"")</f>
        <v/>
      </c>
      <c r="MN31">
        <f>IF(MN30=1,SUM($A$30:MN30),"")</f>
        <v/>
      </c>
      <c r="MO31">
        <f>IF(MO30=1,SUM($A$30:MO30),"")</f>
        <v/>
      </c>
      <c r="MP31">
        <f>IF(MP30=1,SUM($A$30:MP30),"")</f>
        <v/>
      </c>
      <c r="MQ31">
        <f>IF(MQ30=1,SUM($A$30:MQ30),"")</f>
        <v/>
      </c>
      <c r="MR31">
        <f>IF(MR30=1,SUM($A$30:MR30),"")</f>
        <v/>
      </c>
      <c r="MS31">
        <f>IF(MS30=1,SUM($A$30:MS30),"")</f>
        <v/>
      </c>
      <c r="MT31">
        <f>IF(MT30=1,SUM($A$30:MT30),"")</f>
        <v/>
      </c>
      <c r="MU31">
        <f>IF(MU30=1,SUM($A$30:MU30),"")</f>
        <v/>
      </c>
      <c r="MV31">
        <f>IF(MV30=1,SUM($A$30:MV30),"")</f>
        <v/>
      </c>
      <c r="MW31">
        <f>IF(MW30=1,SUM($A$30:MW30),"")</f>
        <v/>
      </c>
      <c r="MX31">
        <f>IF(MX30=1,SUM($A$30:MX30),"")</f>
        <v/>
      </c>
      <c r="MY31">
        <f>IF(MY30=1,SUM($A$30:MY30),"")</f>
        <v/>
      </c>
      <c r="MZ31">
        <f>IF(MZ30=1,SUM($A$30:MZ30),"")</f>
        <v/>
      </c>
      <c r="NA31">
        <f>IF(NA30=1,SUM($A$30:NA30),"")</f>
        <v/>
      </c>
      <c r="NB31">
        <f>IF(NB30=1,SUM($A$30:NB30),"")</f>
        <v/>
      </c>
      <c r="NC31">
        <f>IF(NC30=1,SUM($A$30:NC30),"")</f>
        <v/>
      </c>
      <c r="ND31">
        <f>IF(ND30=1,SUM($A$30:ND30),"")</f>
        <v/>
      </c>
      <c r="NE31">
        <f>IF(NE30=1,SUM($A$30:NE30),"")</f>
        <v/>
      </c>
      <c r="NF31">
        <f>IF(NF30=1,SUM($A$30:NF30),"")</f>
        <v/>
      </c>
      <c r="NG31">
        <f>IF(NG30=1,SUM($A$30:NG30),"")</f>
        <v/>
      </c>
      <c r="NH31">
        <f>IF(NH30=1,SUM($A$30:NH30),"")</f>
        <v/>
      </c>
      <c r="NI31">
        <f>IF(NI30=1,SUM($A$30:NI30),"")</f>
        <v/>
      </c>
      <c r="NJ31">
        <f>IF(NJ30=1,SUM($A$30:NJ30),"")</f>
        <v/>
      </c>
      <c r="NK31">
        <f>IF(NK30=1,SUM($A$30:NK30),"")</f>
        <v/>
      </c>
      <c r="NL31">
        <f>IF(NL30=1,SUM($A$30:NL30),"")</f>
        <v/>
      </c>
      <c r="NM31">
        <f>IF(NM30=1,SUM($A$30:NM30),"")</f>
        <v/>
      </c>
      <c r="NN31">
        <f>IF(NN30=1,SUM($A$30:NN30),"")</f>
        <v/>
      </c>
      <c r="NO31">
        <f>IF(NO30=1,SUM($A$30:NO30),"")</f>
        <v/>
      </c>
      <c r="NP31">
        <f>IF(NP30=1,SUM($A$30:NP30),"")</f>
        <v/>
      </c>
      <c r="NQ31">
        <f>IF(NQ30=1,SUM($A$30:NQ30),"")</f>
        <v/>
      </c>
      <c r="NR31">
        <f>IF(NR30=1,SUM($A$30:NR30),"")</f>
        <v/>
      </c>
      <c r="NS31">
        <f>IF(NS30=1,SUM($A$30:NS30),"")</f>
        <v/>
      </c>
      <c r="NT31">
        <f>IF(NT30=1,SUM($A$30:NT30),"")</f>
        <v/>
      </c>
      <c r="NU31">
        <f>IF(NU30=1,SUM($A$30:NU30),"")</f>
        <v/>
      </c>
      <c r="NV31">
        <f>IF(NV30=1,SUM($A$30:NV30),"")</f>
        <v/>
      </c>
      <c r="NW31">
        <f>IF(NW30=1,SUM($A$30:NW30),"")</f>
        <v/>
      </c>
      <c r="NX31">
        <f>IF(NX30=1,SUM($A$30:NX30),"")</f>
        <v/>
      </c>
      <c r="NY31">
        <f>IF(NY30=1,SUM($A$30:NY30),"")</f>
        <v/>
      </c>
      <c r="NZ31">
        <f>IF(NZ30=1,SUM($A$30:NZ30),"")</f>
        <v/>
      </c>
      <c r="OA31">
        <f>IF(OA30=1,SUM($A$30:OA30),"")</f>
        <v/>
      </c>
      <c r="OB31">
        <f>IF(OB30=1,SUM($A$30:OB30),"")</f>
        <v/>
      </c>
      <c r="OC31">
        <f>IF(OC30=1,SUM($A$30:OC30),"")</f>
        <v/>
      </c>
      <c r="OD31">
        <f>IF(OD30=1,SUM($A$30:OD30),"")</f>
        <v/>
      </c>
      <c r="OE31">
        <f>IF(OE30=1,SUM($A$30:OE30),"")</f>
        <v/>
      </c>
      <c r="OF31">
        <f>IF(OF30=1,SUM($A$30:OF30),"")</f>
        <v/>
      </c>
      <c r="OG31">
        <f>IF(OG30=1,SUM($A$30:OG30),"")</f>
        <v/>
      </c>
      <c r="OH31">
        <f>IF(OH30=1,SUM($A$30:OH30),"")</f>
        <v/>
      </c>
      <c r="OI31">
        <f>IF(OI30=1,SUM($A$30:OI30),"")</f>
        <v/>
      </c>
      <c r="OJ31">
        <f>IF(OJ30=1,SUM($A$30:OJ30),"")</f>
        <v/>
      </c>
    </row>
    <row r="32" hidden="1">
      <c r="A32">
        <f>IF(A$1="DATE",COUNTIF($A$1:A$1,"DATE"),"")</f>
        <v/>
      </c>
      <c r="B32">
        <f>IF(B$1="DATE",COUNTIF($A$1:B$1,"DATE"),"")</f>
        <v/>
      </c>
      <c r="C32">
        <f>IF(C$1="DATE",COUNTIF($A$1:C$1,"DATE"),"")</f>
        <v/>
      </c>
      <c r="D32">
        <f>IF(D$1="DATE",COUNTIF($A$1:D$1,"DATE"),"")</f>
        <v/>
      </c>
      <c r="E32">
        <f>IF(E$1="DATE",COUNTIF($A$1:E$1,"DATE"),"")</f>
        <v/>
      </c>
      <c r="F32">
        <f>IF(F$1="DATE",COUNTIF($A$1:F$1,"DATE"),"")</f>
        <v/>
      </c>
      <c r="G32">
        <f>IF(G$1="DATE",COUNTIF($A$1:G$1,"DATE"),"")</f>
        <v/>
      </c>
      <c r="H32">
        <f>IF(H$1="DATE",COUNTIF($A$1:H$1,"DATE"),"")</f>
        <v/>
      </c>
      <c r="I32">
        <f>IF(I$1="DATE",COUNTIF($A$1:I$1,"DATE"),"")</f>
        <v/>
      </c>
      <c r="J32">
        <f>IF(J$1="DATE",COUNTIF($A$1:J$1,"DATE"),"")</f>
        <v/>
      </c>
      <c r="K32">
        <f>IF(K$1="DATE",COUNTIF($A$1:K$1,"DATE"),"")</f>
        <v/>
      </c>
      <c r="L32">
        <f>IF(L$1="DATE",COUNTIF($A$1:L$1,"DATE"),"")</f>
        <v/>
      </c>
      <c r="M32">
        <f>IF(M$1="DATE",COUNTIF($A$1:M$1,"DATE"),"")</f>
        <v/>
      </c>
      <c r="N32">
        <f>IF(N$1="DATE",COUNTIF($A$1:N$1,"DATE"),"")</f>
        <v/>
      </c>
      <c r="O32">
        <f>IF(O$1="DATE",COUNTIF($A$1:O$1,"DATE"),"")</f>
        <v/>
      </c>
      <c r="P32">
        <f>IF(P$1="DATE",COUNTIF($A$1:P$1,"DATE"),"")</f>
        <v/>
      </c>
      <c r="Q32">
        <f>IF(Q$1="DATE",COUNTIF($A$1:Q$1,"DATE"),"")</f>
        <v/>
      </c>
      <c r="R32">
        <f>IF(R$1="DATE",COUNTIF($A$1:R$1,"DATE"),"")</f>
        <v/>
      </c>
      <c r="S32">
        <f>IF(S$1="DATE",COUNTIF($A$1:S$1,"DATE"),"")</f>
        <v/>
      </c>
      <c r="T32">
        <f>IF(T$1="DATE",COUNTIF($A$1:T$1,"DATE"),"")</f>
        <v/>
      </c>
      <c r="U32">
        <f>IF(U$1="DATE",COUNTIF($A$1:U$1,"DATE"),"")</f>
        <v/>
      </c>
      <c r="V32">
        <f>IF(V$1="DATE",COUNTIF($A$1:V$1,"DATE"),"")</f>
        <v/>
      </c>
      <c r="W32">
        <f>IF(W$1="DATE",COUNTIF($A$1:W$1,"DATE"),"")</f>
        <v/>
      </c>
      <c r="X32">
        <f>IF(X$1="DATE",COUNTIF($A$1:X$1,"DATE"),"")</f>
        <v/>
      </c>
      <c r="Y32">
        <f>IF(Y$1="DATE",COUNTIF($A$1:Y$1,"DATE"),"")</f>
        <v/>
      </c>
      <c r="Z32">
        <f>IF(Z$1="DATE",COUNTIF($A$1:Z$1,"DATE"),"")</f>
        <v/>
      </c>
      <c r="AA32">
        <f>IF(AA$1="DATE",COUNTIF($A$1:AA$1,"DATE"),"")</f>
        <v/>
      </c>
      <c r="AB32">
        <f>IF(AB$1="DATE",COUNTIF($A$1:AB$1,"DATE"),"")</f>
        <v/>
      </c>
      <c r="AC32">
        <f>IF(AC$1="DATE",COUNTIF($A$1:AC$1,"DATE"),"")</f>
        <v/>
      </c>
      <c r="AD32">
        <f>IF(AD$1="DATE",COUNTIF($A$1:AD$1,"DATE"),"")</f>
        <v/>
      </c>
      <c r="AE32">
        <f>IF(AE$1="DATE",COUNTIF($A$1:AE$1,"DATE"),"")</f>
        <v/>
      </c>
      <c r="AF32">
        <f>IF(AF$1="DATE",COUNTIF($A$1:AF$1,"DATE"),"")</f>
        <v/>
      </c>
      <c r="AG32">
        <f>IF(AG$1="DATE",COUNTIF($A$1:AG$1,"DATE"),"")</f>
        <v/>
      </c>
      <c r="AH32">
        <f>IF(AH$1="DATE",COUNTIF($A$1:AH$1,"DATE"),"")</f>
        <v/>
      </c>
      <c r="AI32">
        <f>IF(AI$1="DATE",COUNTIF($A$1:AI$1,"DATE"),"")</f>
        <v/>
      </c>
      <c r="AJ32">
        <f>IF(AJ$1="DATE",COUNTIF($A$1:AJ$1,"DATE"),"")</f>
        <v/>
      </c>
      <c r="AK32">
        <f>IF(AK$1="DATE",COUNTIF($A$1:AK$1,"DATE"),"")</f>
        <v/>
      </c>
      <c r="AL32">
        <f>IF(AL$1="DATE",COUNTIF($A$1:AL$1,"DATE"),"")</f>
        <v/>
      </c>
      <c r="AM32">
        <f>IF(AM$1="DATE",COUNTIF($A$1:AM$1,"DATE"),"")</f>
        <v/>
      </c>
      <c r="AN32">
        <f>IF(AN$1="DATE",COUNTIF($A$1:AN$1,"DATE"),"")</f>
        <v/>
      </c>
      <c r="AO32">
        <f>IF(AO$1="DATE",COUNTIF($A$1:AO$1,"DATE"),"")</f>
        <v/>
      </c>
      <c r="AP32">
        <f>IF(AP$1="DATE",COUNTIF($A$1:AP$1,"DATE"),"")</f>
        <v/>
      </c>
      <c r="AQ32">
        <f>IF(AQ$1="DATE",COUNTIF($A$1:AQ$1,"DATE"),"")</f>
        <v/>
      </c>
      <c r="AR32">
        <f>IF(AR$1="DATE",COUNTIF($A$1:AR$1,"DATE"),"")</f>
        <v/>
      </c>
      <c r="AS32">
        <f>IF(AS$1="DATE",COUNTIF($A$1:AS$1,"DATE"),"")</f>
        <v/>
      </c>
      <c r="AT32">
        <f>IF(AT$1="DATE",COUNTIF($A$1:AT$1,"DATE"),"")</f>
        <v/>
      </c>
      <c r="AU32">
        <f>IF(AU$1="DATE",COUNTIF($A$1:AU$1,"DATE"),"")</f>
        <v/>
      </c>
      <c r="AV32">
        <f>IF(AV$1="DATE",COUNTIF($A$1:AV$1,"DATE"),"")</f>
        <v/>
      </c>
      <c r="AW32">
        <f>IF(AW$1="DATE",COUNTIF($A$1:AW$1,"DATE"),"")</f>
        <v/>
      </c>
      <c r="AX32">
        <f>IF(AX$1="DATE",COUNTIF($A$1:AX$1,"DATE"),"")</f>
        <v/>
      </c>
      <c r="AY32">
        <f>IF(AY$1="DATE",COUNTIF($A$1:AY$1,"DATE"),"")</f>
        <v/>
      </c>
      <c r="AZ32">
        <f>IF(AZ$1="DATE",COUNTIF($A$1:AZ$1,"DATE"),"")</f>
        <v/>
      </c>
      <c r="BA32">
        <f>IF(BA$1="DATE",COUNTIF($A$1:BA$1,"DATE"),"")</f>
        <v/>
      </c>
      <c r="BB32">
        <f>IF(BB$1="DATE",COUNTIF($A$1:BB$1,"DATE"),"")</f>
        <v/>
      </c>
      <c r="BC32">
        <f>IF(BC$1="DATE",COUNTIF($A$1:BC$1,"DATE"),"")</f>
        <v/>
      </c>
      <c r="BD32">
        <f>IF(BD$1="DATE",COUNTIF($A$1:BD$1,"DATE"),"")</f>
        <v/>
      </c>
      <c r="BE32">
        <f>IF(BE$1="DATE",COUNTIF($A$1:BE$1,"DATE"),"")</f>
        <v/>
      </c>
      <c r="BF32">
        <f>IF(BF$1="DATE",COUNTIF($A$1:BF$1,"DATE"),"")</f>
        <v/>
      </c>
      <c r="BG32">
        <f>IF(BG$1="DATE",COUNTIF($A$1:BG$1,"DATE"),"")</f>
        <v/>
      </c>
      <c r="BH32">
        <f>IF(BH$1="DATE",COUNTIF($A$1:BH$1,"DATE"),"")</f>
        <v/>
      </c>
      <c r="BI32">
        <f>IF(BI$1="DATE",COUNTIF($A$1:BI$1,"DATE"),"")</f>
        <v/>
      </c>
      <c r="BJ32">
        <f>IF(BJ$1="DATE",COUNTIF($A$1:BJ$1,"DATE"),"")</f>
        <v/>
      </c>
      <c r="BK32">
        <f>IF(BK$1="DATE",COUNTIF($A$1:BK$1,"DATE"),"")</f>
        <v/>
      </c>
      <c r="BL32">
        <f>IF(BL$1="DATE",COUNTIF($A$1:BL$1,"DATE"),"")</f>
        <v/>
      </c>
      <c r="BM32">
        <f>IF(BM$1="DATE",COUNTIF($A$1:BM$1,"DATE"),"")</f>
        <v/>
      </c>
      <c r="BN32">
        <f>IF(BN$1="DATE",COUNTIF($A$1:BN$1,"DATE"),"")</f>
        <v/>
      </c>
      <c r="BO32">
        <f>IF(BO$1="DATE",COUNTIF($A$1:BO$1,"DATE"),"")</f>
        <v/>
      </c>
      <c r="BP32">
        <f>IF(BP$1="DATE",COUNTIF($A$1:BP$1,"DATE"),"")</f>
        <v/>
      </c>
      <c r="BQ32">
        <f>IF(BQ$1="DATE",COUNTIF($A$1:BQ$1,"DATE"),"")</f>
        <v/>
      </c>
      <c r="BR32">
        <f>IF(BR$1="DATE",COUNTIF($A$1:BR$1,"DATE"),"")</f>
        <v/>
      </c>
      <c r="BS32">
        <f>IF(BS$1="DATE",COUNTIF($A$1:BS$1,"DATE"),"")</f>
        <v/>
      </c>
      <c r="BT32">
        <f>IF(BT$1="DATE",COUNTIF($A$1:BT$1,"DATE"),"")</f>
        <v/>
      </c>
      <c r="BU32">
        <f>IF(BU$1="DATE",COUNTIF($A$1:BU$1,"DATE"),"")</f>
        <v/>
      </c>
      <c r="BV32">
        <f>IF(BV$1="DATE",COUNTIF($A$1:BV$1,"DATE"),"")</f>
        <v/>
      </c>
      <c r="BW32">
        <f>IF(BW$1="DATE",COUNTIF($A$1:BW$1,"DATE"),"")</f>
        <v/>
      </c>
      <c r="BX32">
        <f>IF(BX$1="DATE",COUNTIF($A$1:BX$1,"DATE"),"")</f>
        <v/>
      </c>
      <c r="BY32">
        <f>IF(BY$1="DATE",COUNTIF($A$1:BY$1,"DATE"),"")</f>
        <v/>
      </c>
      <c r="BZ32">
        <f>IF(BZ$1="DATE",COUNTIF($A$1:BZ$1,"DATE"),"")</f>
        <v/>
      </c>
      <c r="CA32">
        <f>IF(CA$1="DATE",COUNTIF($A$1:CA$1,"DATE"),"")</f>
        <v/>
      </c>
      <c r="CB32">
        <f>IF(CB$1="DATE",COUNTIF($A$1:CB$1,"DATE"),"")</f>
        <v/>
      </c>
      <c r="CC32">
        <f>IF(CC$1="DATE",COUNTIF($A$1:CC$1,"DATE"),"")</f>
        <v/>
      </c>
      <c r="CD32">
        <f>IF(CD$1="DATE",COUNTIF($A$1:CD$1,"DATE"),"")</f>
        <v/>
      </c>
      <c r="CE32">
        <f>IF(CE$1="DATE",COUNTIF($A$1:CE$1,"DATE"),"")</f>
        <v/>
      </c>
      <c r="CF32">
        <f>IF(CF$1="DATE",COUNTIF($A$1:CF$1,"DATE"),"")</f>
        <v/>
      </c>
      <c r="CG32">
        <f>IF(CG$1="DATE",COUNTIF($A$1:CG$1,"DATE"),"")</f>
        <v/>
      </c>
      <c r="CH32">
        <f>IF(CH$1="DATE",COUNTIF($A$1:CH$1,"DATE"),"")</f>
        <v/>
      </c>
      <c r="CI32">
        <f>IF(CI$1="DATE",COUNTIF($A$1:CI$1,"DATE"),"")</f>
        <v/>
      </c>
      <c r="CJ32">
        <f>IF(CJ$1="DATE",COUNTIF($A$1:CJ$1,"DATE"),"")</f>
        <v/>
      </c>
      <c r="CK32">
        <f>IF(CK$1="DATE",COUNTIF($A$1:CK$1,"DATE"),"")</f>
        <v/>
      </c>
      <c r="CL32">
        <f>IF(CL$1="DATE",COUNTIF($A$1:CL$1,"DATE"),"")</f>
        <v/>
      </c>
      <c r="CM32">
        <f>IF(CM$1="DATE",COUNTIF($A$1:CM$1,"DATE"),"")</f>
        <v/>
      </c>
      <c r="CN32">
        <f>IF(CN$1="DATE",COUNTIF($A$1:CN$1,"DATE"),"")</f>
        <v/>
      </c>
      <c r="CO32">
        <f>IF(CO$1="DATE",COUNTIF($A$1:CO$1,"DATE"),"")</f>
        <v/>
      </c>
      <c r="CP32">
        <f>IF(CP$1="DATE",COUNTIF($A$1:CP$1,"DATE"),"")</f>
        <v/>
      </c>
      <c r="CQ32">
        <f>IF(CQ$1="DATE",COUNTIF($A$1:CQ$1,"DATE"),"")</f>
        <v/>
      </c>
      <c r="CR32">
        <f>IF(CR$1="DATE",COUNTIF($A$1:CR$1,"DATE"),"")</f>
        <v/>
      </c>
      <c r="CS32">
        <f>IF(CS$1="DATE",COUNTIF($A$1:CS$1,"DATE"),"")</f>
        <v/>
      </c>
      <c r="CT32">
        <f>IF(CT$1="DATE",COUNTIF($A$1:CT$1,"DATE"),"")</f>
        <v/>
      </c>
      <c r="CU32">
        <f>IF(CU$1="DATE",COUNTIF($A$1:CU$1,"DATE"),"")</f>
        <v/>
      </c>
      <c r="CV32">
        <f>IF(CV$1="DATE",COUNTIF($A$1:CV$1,"DATE"),"")</f>
        <v/>
      </c>
      <c r="CW32">
        <f>IF(CW$1="DATE",COUNTIF($A$1:CW$1,"DATE"),"")</f>
        <v/>
      </c>
      <c r="CX32">
        <f>IF(CX$1="DATE",COUNTIF($A$1:CX$1,"DATE"),"")</f>
        <v/>
      </c>
      <c r="CY32">
        <f>IF(CY$1="DATE",COUNTIF($A$1:CY$1,"DATE"),"")</f>
        <v/>
      </c>
      <c r="CZ32">
        <f>IF(CZ$1="DATE",COUNTIF($A$1:CZ$1,"DATE"),"")</f>
        <v/>
      </c>
      <c r="DA32">
        <f>IF(DA$1="DATE",COUNTIF($A$1:DA$1,"DATE"),"")</f>
        <v/>
      </c>
      <c r="DB32">
        <f>IF(DB$1="DATE",COUNTIF($A$1:DB$1,"DATE"),"")</f>
        <v/>
      </c>
      <c r="DC32">
        <f>IF(DC$1="DATE",COUNTIF($A$1:DC$1,"DATE"),"")</f>
        <v/>
      </c>
      <c r="DD32">
        <f>IF(DD$1="DATE",COUNTIF($A$1:DD$1,"DATE"),"")</f>
        <v/>
      </c>
      <c r="DE32">
        <f>IF(DE$1="DATE",COUNTIF($A$1:DE$1,"DATE"),"")</f>
        <v/>
      </c>
      <c r="DF32">
        <f>IF(DF$1="DATE",COUNTIF($A$1:DF$1,"DATE"),"")</f>
        <v/>
      </c>
      <c r="DG32">
        <f>IF(DG$1="DATE",COUNTIF($A$1:DG$1,"DATE"),"")</f>
        <v/>
      </c>
      <c r="DH32">
        <f>IF(DH$1="DATE",COUNTIF($A$1:DH$1,"DATE"),"")</f>
        <v/>
      </c>
      <c r="DI32">
        <f>IF(DI$1="DATE",COUNTIF($A$1:DI$1,"DATE"),"")</f>
        <v/>
      </c>
      <c r="DJ32">
        <f>IF(DJ$1="DATE",COUNTIF($A$1:DJ$1,"DATE"),"")</f>
        <v/>
      </c>
      <c r="DK32">
        <f>IF(DK$1="DATE",COUNTIF($A$1:DK$1,"DATE"),"")</f>
        <v/>
      </c>
      <c r="DL32">
        <f>IF(DL$1="DATE",COUNTIF($A$1:DL$1,"DATE"),"")</f>
        <v/>
      </c>
      <c r="DM32">
        <f>IF(DM$1="DATE",COUNTIF($A$1:DM$1,"DATE"),"")</f>
        <v/>
      </c>
      <c r="DN32">
        <f>IF(DN$1="DATE",COUNTIF($A$1:DN$1,"DATE"),"")</f>
        <v/>
      </c>
      <c r="DO32">
        <f>IF(DO$1="DATE",COUNTIF($A$1:DO$1,"DATE"),"")</f>
        <v/>
      </c>
      <c r="DP32">
        <f>IF(DP$1="DATE",COUNTIF($A$1:DP$1,"DATE"),"")</f>
        <v/>
      </c>
      <c r="DQ32">
        <f>IF(DQ$1="DATE",COUNTIF($A$1:DQ$1,"DATE"),"")</f>
        <v/>
      </c>
      <c r="DR32">
        <f>IF(DR$1="DATE",COUNTIF($A$1:DR$1,"DATE"),"")</f>
        <v/>
      </c>
      <c r="DS32">
        <f>IF(DS$1="DATE",COUNTIF($A$1:DS$1,"DATE"),"")</f>
        <v/>
      </c>
      <c r="DT32">
        <f>IF(DT$1="DATE",COUNTIF($A$1:DT$1,"DATE"),"")</f>
        <v/>
      </c>
      <c r="DU32">
        <f>IF(DU$1="DATE",COUNTIF($A$1:DU$1,"DATE"),"")</f>
        <v/>
      </c>
      <c r="DV32">
        <f>IF(DV$1="DATE",COUNTIF($A$1:DV$1,"DATE"),"")</f>
        <v/>
      </c>
      <c r="DW32">
        <f>IF(DW$1="DATE",COUNTIF($A$1:DW$1,"DATE"),"")</f>
        <v/>
      </c>
      <c r="DX32">
        <f>IF(DX$1="DATE",COUNTIF($A$1:DX$1,"DATE"),"")</f>
        <v/>
      </c>
      <c r="DY32">
        <f>IF(DY$1="DATE",COUNTIF($A$1:DY$1,"DATE"),"")</f>
        <v/>
      </c>
      <c r="DZ32">
        <f>IF(DZ$1="DATE",COUNTIF($A$1:DZ$1,"DATE"),"")</f>
        <v/>
      </c>
      <c r="EA32">
        <f>IF(EA$1="DATE",COUNTIF($A$1:EA$1,"DATE"),"")</f>
        <v/>
      </c>
      <c r="EB32">
        <f>IF(EB$1="DATE",COUNTIF($A$1:EB$1,"DATE"),"")</f>
        <v/>
      </c>
      <c r="EC32">
        <f>IF(EC$1="DATE",COUNTIF($A$1:EC$1,"DATE"),"")</f>
        <v/>
      </c>
      <c r="ED32">
        <f>IF(ED$1="DATE",COUNTIF($A$1:ED$1,"DATE"),"")</f>
        <v/>
      </c>
      <c r="EE32">
        <f>IF(EE$1="DATE",COUNTIF($A$1:EE$1,"DATE"),"")</f>
        <v/>
      </c>
      <c r="EF32">
        <f>IF(EF$1="DATE",COUNTIF($A$1:EF$1,"DATE"),"")</f>
        <v/>
      </c>
      <c r="EG32">
        <f>IF(EG$1="DATE",COUNTIF($A$1:EG$1,"DATE"),"")</f>
        <v/>
      </c>
      <c r="EH32">
        <f>IF(EH$1="DATE",COUNTIF($A$1:EH$1,"DATE"),"")</f>
        <v/>
      </c>
      <c r="EI32">
        <f>IF(EI$1="DATE",COUNTIF($A$1:EI$1,"DATE"),"")</f>
        <v/>
      </c>
      <c r="EJ32">
        <f>IF(EJ$1="DATE",COUNTIF($A$1:EJ$1,"DATE"),"")</f>
        <v/>
      </c>
      <c r="EK32">
        <f>IF(EK$1="DATE",COUNTIF($A$1:EK$1,"DATE"),"")</f>
        <v/>
      </c>
      <c r="EL32">
        <f>IF(EL$1="DATE",COUNTIF($A$1:EL$1,"DATE"),"")</f>
        <v/>
      </c>
      <c r="EM32">
        <f>IF(EM$1="DATE",COUNTIF($A$1:EM$1,"DATE"),"")</f>
        <v/>
      </c>
      <c r="EN32">
        <f>IF(EN$1="DATE",COUNTIF($A$1:EN$1,"DATE"),"")</f>
        <v/>
      </c>
      <c r="EO32">
        <f>IF(EO$1="DATE",COUNTIF($A$1:EO$1,"DATE"),"")</f>
        <v/>
      </c>
      <c r="EP32">
        <f>IF(EP$1="DATE",COUNTIF($A$1:EP$1,"DATE"),"")</f>
        <v/>
      </c>
      <c r="EQ32">
        <f>IF(EQ$1="DATE",COUNTIF($A$1:EQ$1,"DATE"),"")</f>
        <v/>
      </c>
      <c r="ER32">
        <f>IF(ER$1="DATE",COUNTIF($A$1:ER$1,"DATE"),"")</f>
        <v/>
      </c>
      <c r="ES32">
        <f>IF(ES$1="DATE",COUNTIF($A$1:ES$1,"DATE"),"")</f>
        <v/>
      </c>
      <c r="ET32">
        <f>IF(ET$1="DATE",COUNTIF($A$1:ET$1,"DATE"),"")</f>
        <v/>
      </c>
      <c r="EU32">
        <f>IF(EU$1="DATE",COUNTIF($A$1:EU$1,"DATE"),"")</f>
        <v/>
      </c>
      <c r="EV32">
        <f>IF(EV$1="DATE",COUNTIF($A$1:EV$1,"DATE"),"")</f>
        <v/>
      </c>
      <c r="EW32">
        <f>IF(EW$1="DATE",COUNTIF($A$1:EW$1,"DATE"),"")</f>
        <v/>
      </c>
      <c r="EX32">
        <f>IF(EX$1="DATE",COUNTIF($A$1:EX$1,"DATE"),"")</f>
        <v/>
      </c>
      <c r="EY32">
        <f>IF(EY$1="DATE",COUNTIF($A$1:EY$1,"DATE"),"")</f>
        <v/>
      </c>
      <c r="EZ32">
        <f>IF(EZ$1="DATE",COUNTIF($A$1:EZ$1,"DATE"),"")</f>
        <v/>
      </c>
      <c r="FA32">
        <f>IF(FA$1="DATE",COUNTIF($A$1:FA$1,"DATE"),"")</f>
        <v/>
      </c>
      <c r="FB32">
        <f>IF(FB$1="DATE",COUNTIF($A$1:FB$1,"DATE"),"")</f>
        <v/>
      </c>
      <c r="FC32">
        <f>IF(FC$1="DATE",COUNTIF($A$1:FC$1,"DATE"),"")</f>
        <v/>
      </c>
      <c r="FD32">
        <f>IF(FD$1="DATE",COUNTIF($A$1:FD$1,"DATE"),"")</f>
        <v/>
      </c>
      <c r="FE32">
        <f>IF(FE$1="DATE",COUNTIF($A$1:FE$1,"DATE"),"")</f>
        <v/>
      </c>
      <c r="FF32">
        <f>IF(FF$1="DATE",COUNTIF($A$1:FF$1,"DATE"),"")</f>
        <v/>
      </c>
      <c r="FG32">
        <f>IF(FG$1="DATE",COUNTIF($A$1:FG$1,"DATE"),"")</f>
        <v/>
      </c>
      <c r="FH32">
        <f>IF(FH$1="DATE",COUNTIF($A$1:FH$1,"DATE"),"")</f>
        <v/>
      </c>
      <c r="FI32">
        <f>IF(FI$1="DATE",COUNTIF($A$1:FI$1,"DATE"),"")</f>
        <v/>
      </c>
      <c r="FJ32">
        <f>IF(FJ$1="DATE",COUNTIF($A$1:FJ$1,"DATE"),"")</f>
        <v/>
      </c>
      <c r="FK32">
        <f>IF(FK$1="DATE",COUNTIF($A$1:FK$1,"DATE"),"")</f>
        <v/>
      </c>
      <c r="FL32">
        <f>IF(FL$1="DATE",COUNTIF($A$1:FL$1,"DATE"),"")</f>
        <v/>
      </c>
      <c r="FM32">
        <f>IF(FM$1="DATE",COUNTIF($A$1:FM$1,"DATE"),"")</f>
        <v/>
      </c>
      <c r="FN32">
        <f>IF(FN$1="DATE",COUNTIF($A$1:FN$1,"DATE"),"")</f>
        <v/>
      </c>
      <c r="FO32">
        <f>IF(FO$1="DATE",COUNTIF($A$1:FO$1,"DATE"),"")</f>
        <v/>
      </c>
      <c r="FP32">
        <f>IF(FP$1="DATE",COUNTIF($A$1:FP$1,"DATE"),"")</f>
        <v/>
      </c>
      <c r="FQ32">
        <f>IF(FQ$1="DATE",COUNTIF($A$1:FQ$1,"DATE"),"")</f>
        <v/>
      </c>
      <c r="FR32">
        <f>IF(FR$1="DATE",COUNTIF($A$1:FR$1,"DATE"),"")</f>
        <v/>
      </c>
      <c r="FS32">
        <f>IF(FS$1="DATE",COUNTIF($A$1:FS$1,"DATE"),"")</f>
        <v/>
      </c>
      <c r="FT32">
        <f>IF(FT$1="DATE",COUNTIF($A$1:FT$1,"DATE"),"")</f>
        <v/>
      </c>
      <c r="FU32">
        <f>IF(FU$1="DATE",COUNTIF($A$1:FU$1,"DATE"),"")</f>
        <v/>
      </c>
      <c r="FV32">
        <f>IF(FV$1="DATE",COUNTIF($A$1:FV$1,"DATE"),"")</f>
        <v/>
      </c>
      <c r="FW32">
        <f>IF(FW$1="DATE",COUNTIF($A$1:FW$1,"DATE"),"")</f>
        <v/>
      </c>
      <c r="FX32">
        <f>IF(FX$1="DATE",COUNTIF($A$1:FX$1,"DATE"),"")</f>
        <v/>
      </c>
      <c r="FY32">
        <f>IF(FY$1="DATE",COUNTIF($A$1:FY$1,"DATE"),"")</f>
        <v/>
      </c>
      <c r="FZ32">
        <f>IF(FZ$1="DATE",COUNTIF($A$1:FZ$1,"DATE"),"")</f>
        <v/>
      </c>
      <c r="GA32">
        <f>IF(GA$1="DATE",COUNTIF($A$1:GA$1,"DATE"),"")</f>
        <v/>
      </c>
      <c r="GB32">
        <f>IF(GB$1="DATE",COUNTIF($A$1:GB$1,"DATE"),"")</f>
        <v/>
      </c>
      <c r="GC32">
        <f>IF(GC$1="DATE",COUNTIF($A$1:GC$1,"DATE"),"")</f>
        <v/>
      </c>
      <c r="GD32">
        <f>IF(GD$1="DATE",COUNTIF($A$1:GD$1,"DATE"),"")</f>
        <v/>
      </c>
      <c r="GE32">
        <f>IF(GE$1="DATE",COUNTIF($A$1:GE$1,"DATE"),"")</f>
        <v/>
      </c>
      <c r="GF32">
        <f>IF(GF$1="DATE",COUNTIF($A$1:GF$1,"DATE"),"")</f>
        <v/>
      </c>
      <c r="GG32">
        <f>IF(GG$1="DATE",COUNTIF($A$1:GG$1,"DATE"),"")</f>
        <v/>
      </c>
      <c r="GH32">
        <f>IF(GH$1="DATE",COUNTIF($A$1:GH$1,"DATE"),"")</f>
        <v/>
      </c>
      <c r="GI32">
        <f>IF(GI$1="DATE",COUNTIF($A$1:GI$1,"DATE"),"")</f>
        <v/>
      </c>
      <c r="GJ32">
        <f>IF(GJ$1="DATE",COUNTIF($A$1:GJ$1,"DATE"),"")</f>
        <v/>
      </c>
      <c r="GK32">
        <f>IF(GK$1="DATE",COUNTIF($A$1:GK$1,"DATE"),"")</f>
        <v/>
      </c>
      <c r="GL32">
        <f>IF(GL$1="DATE",COUNTIF($A$1:GL$1,"DATE"),"")</f>
        <v/>
      </c>
      <c r="GM32">
        <f>IF(GM$1="DATE",COUNTIF($A$1:GM$1,"DATE"),"")</f>
        <v/>
      </c>
      <c r="GN32">
        <f>IF(GN$1="DATE",COUNTIF($A$1:GN$1,"DATE"),"")</f>
        <v/>
      </c>
      <c r="GO32">
        <f>IF(GO$1="DATE",COUNTIF($A$1:GO$1,"DATE"),"")</f>
        <v/>
      </c>
      <c r="GP32">
        <f>IF(GP$1="DATE",COUNTIF($A$1:GP$1,"DATE"),"")</f>
        <v/>
      </c>
      <c r="GQ32">
        <f>IF(GQ$1="DATE",COUNTIF($A$1:GQ$1,"DATE"),"")</f>
        <v/>
      </c>
      <c r="GR32">
        <f>IF(GR$1="DATE",COUNTIF($A$1:GR$1,"DATE"),"")</f>
        <v/>
      </c>
      <c r="GS32">
        <f>IF(GS$1="DATE",COUNTIF($A$1:GS$1,"DATE"),"")</f>
        <v/>
      </c>
      <c r="GT32">
        <f>IF(GT$1="DATE",COUNTIF($A$1:GT$1,"DATE"),"")</f>
        <v/>
      </c>
      <c r="GU32">
        <f>IF(GU$1="DATE",COUNTIF($A$1:GU$1,"DATE"),"")</f>
        <v/>
      </c>
      <c r="GV32">
        <f>IF(GV$1="DATE",COUNTIF($A$1:GV$1,"DATE"),"")</f>
        <v/>
      </c>
      <c r="GW32">
        <f>IF(GW$1="DATE",COUNTIF($A$1:GW$1,"DATE"),"")</f>
        <v/>
      </c>
      <c r="GX32">
        <f>IF(GX$1="DATE",COUNTIF($A$1:GX$1,"DATE"),"")</f>
        <v/>
      </c>
      <c r="GY32">
        <f>IF(GY$1="DATE",COUNTIF($A$1:GY$1,"DATE"),"")</f>
        <v/>
      </c>
      <c r="GZ32">
        <f>IF(GZ$1="DATE",COUNTIF($A$1:GZ$1,"DATE"),"")</f>
        <v/>
      </c>
      <c r="HA32">
        <f>IF(HA$1="DATE",COUNTIF($A$1:HA$1,"DATE"),"")</f>
        <v/>
      </c>
      <c r="HB32">
        <f>IF(HB$1="DATE",COUNTIF($A$1:HB$1,"DATE"),"")</f>
        <v/>
      </c>
      <c r="HC32">
        <f>IF(HC$1="DATE",COUNTIF($A$1:HC$1,"DATE"),"")</f>
        <v/>
      </c>
      <c r="HD32">
        <f>IF(HD$1="DATE",COUNTIF($A$1:HD$1,"DATE"),"")</f>
        <v/>
      </c>
      <c r="HE32">
        <f>IF(HE$1="DATE",COUNTIF($A$1:HE$1,"DATE"),"")</f>
        <v/>
      </c>
      <c r="HF32">
        <f>IF(HF$1="DATE",COUNTIF($A$1:HF$1,"DATE"),"")</f>
        <v/>
      </c>
      <c r="HG32">
        <f>IF(HG$1="DATE",COUNTIF($A$1:HG$1,"DATE"),"")</f>
        <v/>
      </c>
      <c r="HH32">
        <f>IF(HH$1="DATE",COUNTIF($A$1:HH$1,"DATE"),"")</f>
        <v/>
      </c>
      <c r="HI32">
        <f>IF(HI$1="DATE",COUNTIF($A$1:HI$1,"DATE"),"")</f>
        <v/>
      </c>
      <c r="HJ32">
        <f>IF(HJ$1="DATE",COUNTIF($A$1:HJ$1,"DATE"),"")</f>
        <v/>
      </c>
      <c r="HK32">
        <f>IF(HK$1="DATE",COUNTIF($A$1:HK$1,"DATE"),"")</f>
        <v/>
      </c>
      <c r="HL32">
        <f>IF(HL$1="DATE",COUNTIF($A$1:HL$1,"DATE"),"")</f>
        <v/>
      </c>
      <c r="HM32">
        <f>IF(HM$1="DATE",COUNTIF($A$1:HM$1,"DATE"),"")</f>
        <v/>
      </c>
      <c r="HN32">
        <f>IF(HN$1="DATE",COUNTIF($A$1:HN$1,"DATE"),"")</f>
        <v/>
      </c>
      <c r="HO32">
        <f>IF(HO$1="DATE",COUNTIF($A$1:HO$1,"DATE"),"")</f>
        <v/>
      </c>
      <c r="HP32">
        <f>IF(HP$1="DATE",COUNTIF($A$1:HP$1,"DATE"),"")</f>
        <v/>
      </c>
      <c r="HQ32">
        <f>IF(HQ$1="DATE",COUNTIF($A$1:HQ$1,"DATE"),"")</f>
        <v/>
      </c>
      <c r="HR32">
        <f>IF(HR$1="DATE",COUNTIF($A$1:HR$1,"DATE"),"")</f>
        <v/>
      </c>
      <c r="HS32">
        <f>IF(HS$1="DATE",COUNTIF($A$1:HS$1,"DATE"),"")</f>
        <v/>
      </c>
      <c r="HT32">
        <f>IF(HT$1="DATE",COUNTIF($A$1:HT$1,"DATE"),"")</f>
        <v/>
      </c>
      <c r="HU32">
        <f>IF(HU$1="DATE",COUNTIF($A$1:HU$1,"DATE"),"")</f>
        <v/>
      </c>
      <c r="HV32">
        <f>IF(HV$1="DATE",COUNTIF($A$1:HV$1,"DATE"),"")</f>
        <v/>
      </c>
      <c r="HW32">
        <f>IF(HW$1="DATE",COUNTIF($A$1:HW$1,"DATE"),"")</f>
        <v/>
      </c>
      <c r="HX32">
        <f>IF(HX$1="DATE",COUNTIF($A$1:HX$1,"DATE"),"")</f>
        <v/>
      </c>
      <c r="HY32">
        <f>IF(HY$1="DATE",COUNTIF($A$1:HY$1,"DATE"),"")</f>
        <v/>
      </c>
      <c r="HZ32">
        <f>IF(HZ$1="DATE",COUNTIF($A$1:HZ$1,"DATE"),"")</f>
        <v/>
      </c>
      <c r="IA32">
        <f>IF(IA$1="DATE",COUNTIF($A$1:IA$1,"DATE"),"")</f>
        <v/>
      </c>
      <c r="IB32">
        <f>IF(IB$1="DATE",COUNTIF($A$1:IB$1,"DATE"),"")</f>
        <v/>
      </c>
      <c r="IC32">
        <f>IF(IC$1="DATE",COUNTIF($A$1:IC$1,"DATE"),"")</f>
        <v/>
      </c>
      <c r="ID32">
        <f>IF(ID$1="DATE",COUNTIF($A$1:ID$1,"DATE"),"")</f>
        <v/>
      </c>
      <c r="IE32">
        <f>IF(IE$1="DATE",COUNTIF($A$1:IE$1,"DATE"),"")</f>
        <v/>
      </c>
      <c r="IF32">
        <f>IF(IF$1="DATE",COUNTIF($A$1:IF$1,"DATE"),"")</f>
        <v/>
      </c>
      <c r="IG32">
        <f>IF(IG$1="DATE",COUNTIF($A$1:IG$1,"DATE"),"")</f>
        <v/>
      </c>
      <c r="IH32">
        <f>IF(IH$1="DATE",COUNTIF($A$1:IH$1,"DATE"),"")</f>
        <v/>
      </c>
      <c r="II32">
        <f>IF(II$1="DATE",COUNTIF($A$1:II$1,"DATE"),"")</f>
        <v/>
      </c>
      <c r="IJ32">
        <f>IF(IJ$1="DATE",COUNTIF($A$1:IJ$1,"DATE"),"")</f>
        <v/>
      </c>
      <c r="IK32">
        <f>IF(IK$1="DATE",COUNTIF($A$1:IK$1,"DATE"),"")</f>
        <v/>
      </c>
      <c r="IL32">
        <f>IF(IL$1="DATE",COUNTIF($A$1:IL$1,"DATE"),"")</f>
        <v/>
      </c>
      <c r="IM32">
        <f>IF(IM$1="DATE",COUNTIF($A$1:IM$1,"DATE"),"")</f>
        <v/>
      </c>
      <c r="IN32">
        <f>IF(IN$1="DATE",COUNTIF($A$1:IN$1,"DATE"),"")</f>
        <v/>
      </c>
      <c r="IO32">
        <f>IF(IO$1="DATE",COUNTIF($A$1:IO$1,"DATE"),"")</f>
        <v/>
      </c>
      <c r="IP32">
        <f>IF(IP$1="DATE",COUNTIF($A$1:IP$1,"DATE"),"")</f>
        <v/>
      </c>
      <c r="IQ32">
        <f>IF(IQ$1="DATE",COUNTIF($A$1:IQ$1,"DATE"),"")</f>
        <v/>
      </c>
      <c r="IR32">
        <f>IF(IR$1="DATE",COUNTIF($A$1:IR$1,"DATE"),"")</f>
        <v/>
      </c>
      <c r="IS32">
        <f>IF(IS$1="DATE",COUNTIF($A$1:IS$1,"DATE"),"")</f>
        <v/>
      </c>
      <c r="IT32">
        <f>IF(IT$1="DATE",COUNTIF($A$1:IT$1,"DATE"),"")</f>
        <v/>
      </c>
      <c r="IU32">
        <f>IF(IU$1="DATE",COUNTIF($A$1:IU$1,"DATE"),"")</f>
        <v/>
      </c>
      <c r="IV32">
        <f>IF(IV$1="DATE",COUNTIF($A$1:IV$1,"DATE"),"")</f>
        <v/>
      </c>
      <c r="IW32">
        <f>IF(IW$1="DATE",COUNTIF($A$1:IW$1,"DATE"),"")</f>
        <v/>
      </c>
      <c r="IX32">
        <f>IF(IX$1="DATE",COUNTIF($A$1:IX$1,"DATE"),"")</f>
        <v/>
      </c>
      <c r="IY32">
        <f>IF(IY$1="DATE",COUNTIF($A$1:IY$1,"DATE"),"")</f>
        <v/>
      </c>
      <c r="IZ32">
        <f>IF(IZ$1="DATE",COUNTIF($A$1:IZ$1,"DATE"),"")</f>
        <v/>
      </c>
      <c r="JA32">
        <f>IF(JA$1="DATE",COUNTIF($A$1:JA$1,"DATE"),"")</f>
        <v/>
      </c>
      <c r="JB32">
        <f>IF(JB$1="DATE",COUNTIF($A$1:JB$1,"DATE"),"")</f>
        <v/>
      </c>
      <c r="JC32">
        <f>IF(JC$1="DATE",COUNTIF($A$1:JC$1,"DATE"),"")</f>
        <v/>
      </c>
      <c r="JD32">
        <f>IF(JD$1="DATE",COUNTIF($A$1:JD$1,"DATE"),"")</f>
        <v/>
      </c>
      <c r="JE32">
        <f>IF(JE$1="DATE",COUNTIF($A$1:JE$1,"DATE"),"")</f>
        <v/>
      </c>
      <c r="JF32">
        <f>IF(JF$1="DATE",COUNTIF($A$1:JF$1,"DATE"),"")</f>
        <v/>
      </c>
      <c r="JG32">
        <f>IF(JG$1="DATE",COUNTIF($A$1:JG$1,"DATE"),"")</f>
        <v/>
      </c>
      <c r="JH32">
        <f>IF(JH$1="DATE",COUNTIF($A$1:JH$1,"DATE"),"")</f>
        <v/>
      </c>
      <c r="JI32">
        <f>IF(JI$1="DATE",COUNTIF($A$1:JI$1,"DATE"),"")</f>
        <v/>
      </c>
      <c r="JJ32">
        <f>IF(JJ$1="DATE",COUNTIF($A$1:JJ$1,"DATE"),"")</f>
        <v/>
      </c>
      <c r="JK32">
        <f>IF(JK$1="DATE",COUNTIF($A$1:JK$1,"DATE"),"")</f>
        <v/>
      </c>
      <c r="JL32">
        <f>IF(JL$1="DATE",COUNTIF($A$1:JL$1,"DATE"),"")</f>
        <v/>
      </c>
      <c r="JM32">
        <f>IF(JM$1="DATE",COUNTIF($A$1:JM$1,"DATE"),"")</f>
        <v/>
      </c>
      <c r="JN32">
        <f>IF(JN$1="DATE",COUNTIF($A$1:JN$1,"DATE"),"")</f>
        <v/>
      </c>
      <c r="JO32">
        <f>IF(JO$1="DATE",COUNTIF($A$1:JO$1,"DATE"),"")</f>
        <v/>
      </c>
      <c r="JP32">
        <f>IF(JP$1="DATE",COUNTIF($A$1:JP$1,"DATE"),"")</f>
        <v/>
      </c>
      <c r="JQ32">
        <f>IF(JQ$1="DATE",COUNTIF($A$1:JQ$1,"DATE"),"")</f>
        <v/>
      </c>
      <c r="JR32">
        <f>IF(JR$1="DATE",COUNTIF($A$1:JR$1,"DATE"),"")</f>
        <v/>
      </c>
      <c r="JS32">
        <f>IF(JS$1="DATE",COUNTIF($A$1:JS$1,"DATE"),"")</f>
        <v/>
      </c>
      <c r="JT32">
        <f>IF(JT$1="DATE",COUNTIF($A$1:JT$1,"DATE"),"")</f>
        <v/>
      </c>
      <c r="JU32">
        <f>IF(JU$1="DATE",COUNTIF($A$1:JU$1,"DATE"),"")</f>
        <v/>
      </c>
      <c r="JV32">
        <f>IF(JV$1="DATE",COUNTIF($A$1:JV$1,"DATE"),"")</f>
        <v/>
      </c>
      <c r="JW32">
        <f>IF(JW$1="DATE",COUNTIF($A$1:JW$1,"DATE"),"")</f>
        <v/>
      </c>
      <c r="JX32">
        <f>IF(JX$1="DATE",COUNTIF($A$1:JX$1,"DATE"),"")</f>
        <v/>
      </c>
      <c r="JY32">
        <f>IF(JY$1="DATE",COUNTIF($A$1:JY$1,"DATE"),"")</f>
        <v/>
      </c>
      <c r="JZ32">
        <f>IF(JZ$1="DATE",COUNTIF($A$1:JZ$1,"DATE"),"")</f>
        <v/>
      </c>
      <c r="KA32">
        <f>IF(KA$1="DATE",COUNTIF($A$1:KA$1,"DATE"),"")</f>
        <v/>
      </c>
      <c r="KB32">
        <f>IF(KB$1="DATE",COUNTIF($A$1:KB$1,"DATE"),"")</f>
        <v/>
      </c>
      <c r="KC32">
        <f>IF(KC$1="DATE",COUNTIF($A$1:KC$1,"DATE"),"")</f>
        <v/>
      </c>
      <c r="KD32">
        <f>IF(KD$1="DATE",COUNTIF($A$1:KD$1,"DATE"),"")</f>
        <v/>
      </c>
      <c r="KE32">
        <f>IF(KE$1="DATE",COUNTIF($A$1:KE$1,"DATE"),"")</f>
        <v/>
      </c>
      <c r="KF32">
        <f>IF(KF$1="DATE",COUNTIF($A$1:KF$1,"DATE"),"")</f>
        <v/>
      </c>
      <c r="KG32">
        <f>IF(KG$1="DATE",COUNTIF($A$1:KG$1,"DATE"),"")</f>
        <v/>
      </c>
      <c r="KH32">
        <f>IF(KH$1="DATE",COUNTIF($A$1:KH$1,"DATE"),"")</f>
        <v/>
      </c>
      <c r="KI32">
        <f>IF(KI$1="DATE",COUNTIF($A$1:KI$1,"DATE"),"")</f>
        <v/>
      </c>
      <c r="KJ32">
        <f>IF(KJ$1="DATE",COUNTIF($A$1:KJ$1,"DATE"),"")</f>
        <v/>
      </c>
      <c r="KK32">
        <f>IF(KK$1="DATE",COUNTIF($A$1:KK$1,"DATE"),"")</f>
        <v/>
      </c>
      <c r="KL32">
        <f>IF(KL$1="DATE",COUNTIF($A$1:KL$1,"DATE"),"")</f>
        <v/>
      </c>
      <c r="KM32">
        <f>IF(KM$1="DATE",COUNTIF($A$1:KM$1,"DATE"),"")</f>
        <v/>
      </c>
      <c r="KN32">
        <f>IF(KN$1="DATE",COUNTIF($A$1:KN$1,"DATE"),"")</f>
        <v/>
      </c>
      <c r="KO32">
        <f>IF(KO$1="DATE",COUNTIF($A$1:KO$1,"DATE"),"")</f>
        <v/>
      </c>
      <c r="KP32">
        <f>IF(KP$1="DATE",COUNTIF($A$1:KP$1,"DATE"),"")</f>
        <v/>
      </c>
      <c r="KQ32">
        <f>IF(KQ$1="DATE",COUNTIF($A$1:KQ$1,"DATE"),"")</f>
        <v/>
      </c>
      <c r="KR32">
        <f>IF(KR$1="DATE",COUNTIF($A$1:KR$1,"DATE"),"")</f>
        <v/>
      </c>
      <c r="KS32">
        <f>IF(KS$1="DATE",COUNTIF($A$1:KS$1,"DATE"),"")</f>
        <v/>
      </c>
      <c r="KT32">
        <f>IF(KT$1="DATE",COUNTIF($A$1:KT$1,"DATE"),"")</f>
        <v/>
      </c>
      <c r="KU32">
        <f>IF(KU$1="DATE",COUNTIF($A$1:KU$1,"DATE"),"")</f>
        <v/>
      </c>
      <c r="KV32">
        <f>IF(KV$1="DATE",COUNTIF($A$1:KV$1,"DATE"),"")</f>
        <v/>
      </c>
      <c r="KW32">
        <f>IF(KW$1="DATE",COUNTIF($A$1:KW$1,"DATE"),"")</f>
        <v/>
      </c>
      <c r="KX32">
        <f>IF(KX$1="DATE",COUNTIF($A$1:KX$1,"DATE"),"")</f>
        <v/>
      </c>
      <c r="KY32">
        <f>IF(KY$1="DATE",COUNTIF($A$1:KY$1,"DATE"),"")</f>
        <v/>
      </c>
      <c r="KZ32">
        <f>IF(KZ$1="DATE",COUNTIF($A$1:KZ$1,"DATE"),"")</f>
        <v/>
      </c>
      <c r="LA32">
        <f>IF(LA$1="DATE",COUNTIF($A$1:LA$1,"DATE"),"")</f>
        <v/>
      </c>
      <c r="LB32">
        <f>IF(LB$1="DATE",COUNTIF($A$1:LB$1,"DATE"),"")</f>
        <v/>
      </c>
      <c r="LC32">
        <f>IF(LC$1="DATE",COUNTIF($A$1:LC$1,"DATE"),"")</f>
        <v/>
      </c>
      <c r="LD32">
        <f>IF(LD$1="DATE",COUNTIF($A$1:LD$1,"DATE"),"")</f>
        <v/>
      </c>
      <c r="LE32">
        <f>IF(LE$1="DATE",COUNTIF($A$1:LE$1,"DATE"),"")</f>
        <v/>
      </c>
      <c r="LF32">
        <f>IF(LF$1="DATE",COUNTIF($A$1:LF$1,"DATE"),"")</f>
        <v/>
      </c>
      <c r="LG32">
        <f>IF(LG$1="DATE",COUNTIF($A$1:LG$1,"DATE"),"")</f>
        <v/>
      </c>
      <c r="LH32">
        <f>IF(LH$1="DATE",COUNTIF($A$1:LH$1,"DATE"),"")</f>
        <v/>
      </c>
      <c r="LI32">
        <f>IF(LI$1="DATE",COUNTIF($A$1:LI$1,"DATE"),"")</f>
        <v/>
      </c>
      <c r="LJ32">
        <f>IF(LJ$1="DATE",COUNTIF($A$1:LJ$1,"DATE"),"")</f>
        <v/>
      </c>
      <c r="LK32">
        <f>IF(LK$1="DATE",COUNTIF($A$1:LK$1,"DATE"),"")</f>
        <v/>
      </c>
      <c r="LL32">
        <f>IF(LL$1="DATE",COUNTIF($A$1:LL$1,"DATE"),"")</f>
        <v/>
      </c>
      <c r="LM32">
        <f>IF(LM$1="DATE",COUNTIF($A$1:LM$1,"DATE"),"")</f>
        <v/>
      </c>
      <c r="LN32">
        <f>IF(LN$1="DATE",COUNTIF($A$1:LN$1,"DATE"),"")</f>
        <v/>
      </c>
      <c r="LO32">
        <f>IF(LO$1="DATE",COUNTIF($A$1:LO$1,"DATE"),"")</f>
        <v/>
      </c>
      <c r="LP32">
        <f>IF(LP$1="DATE",COUNTIF($A$1:LP$1,"DATE"),"")</f>
        <v/>
      </c>
      <c r="LQ32">
        <f>IF(LQ$1="DATE",COUNTIF($A$1:LQ$1,"DATE"),"")</f>
        <v/>
      </c>
      <c r="LR32">
        <f>IF(LR$1="DATE",COUNTIF($A$1:LR$1,"DATE"),"")</f>
        <v/>
      </c>
      <c r="LS32">
        <f>IF(LS$1="DATE",COUNTIF($A$1:LS$1,"DATE"),"")</f>
        <v/>
      </c>
      <c r="LT32">
        <f>IF(LT$1="DATE",COUNTIF($A$1:LT$1,"DATE"),"")</f>
        <v/>
      </c>
      <c r="LU32">
        <f>IF(LU$1="DATE",COUNTIF($A$1:LU$1,"DATE"),"")</f>
        <v/>
      </c>
      <c r="LV32">
        <f>IF(LV$1="DATE",COUNTIF($A$1:LV$1,"DATE"),"")</f>
        <v/>
      </c>
      <c r="LW32">
        <f>IF(LW$1="DATE",COUNTIF($A$1:LW$1,"DATE"),"")</f>
        <v/>
      </c>
      <c r="LX32">
        <f>IF(LX$1="DATE",COUNTIF($A$1:LX$1,"DATE"),"")</f>
        <v/>
      </c>
      <c r="LY32">
        <f>IF(LY$1="DATE",COUNTIF($A$1:LY$1,"DATE"),"")</f>
        <v/>
      </c>
      <c r="LZ32">
        <f>IF(LZ$1="DATE",COUNTIF($A$1:LZ$1,"DATE"),"")</f>
        <v/>
      </c>
      <c r="MA32">
        <f>IF(MA$1="DATE",COUNTIF($A$1:MA$1,"DATE"),"")</f>
        <v/>
      </c>
      <c r="MB32">
        <f>IF(MB$1="DATE",COUNTIF($A$1:MB$1,"DATE"),"")</f>
        <v/>
      </c>
      <c r="MC32">
        <f>IF(MC$1="DATE",COUNTIF($A$1:MC$1,"DATE"),"")</f>
        <v/>
      </c>
      <c r="MD32">
        <f>IF(MD$1="DATE",COUNTIF($A$1:MD$1,"DATE"),"")</f>
        <v/>
      </c>
      <c r="ME32">
        <f>IF(ME$1="DATE",COUNTIF($A$1:ME$1,"DATE"),"")</f>
        <v/>
      </c>
      <c r="MF32">
        <f>IF(MF$1="DATE",COUNTIF($A$1:MF$1,"DATE"),"")</f>
        <v/>
      </c>
      <c r="MG32">
        <f>IF(MG$1="DATE",COUNTIF($A$1:MG$1,"DATE"),"")</f>
        <v/>
      </c>
      <c r="MH32">
        <f>IF(MH$1="DATE",COUNTIF($A$1:MH$1,"DATE"),"")</f>
        <v/>
      </c>
      <c r="MI32">
        <f>IF(MI$1="DATE",COUNTIF($A$1:MI$1,"DATE"),"")</f>
        <v/>
      </c>
      <c r="MJ32">
        <f>IF(MJ$1="DATE",COUNTIF($A$1:MJ$1,"DATE"),"")</f>
        <v/>
      </c>
      <c r="MK32">
        <f>IF(MK$1="DATE",COUNTIF($A$1:MK$1,"DATE"),"")</f>
        <v/>
      </c>
      <c r="ML32">
        <f>IF(ML$1="DATE",COUNTIF($A$1:ML$1,"DATE"),"")</f>
        <v/>
      </c>
      <c r="MM32">
        <f>IF(MM$1="DATE",COUNTIF($A$1:MM$1,"DATE"),"")</f>
        <v/>
      </c>
      <c r="MN32">
        <f>IF(MN$1="DATE",COUNTIF($A$1:MN$1,"DATE"),"")</f>
        <v/>
      </c>
      <c r="MO32">
        <f>IF(MO$1="DATE",COUNTIF($A$1:MO$1,"DATE"),"")</f>
        <v/>
      </c>
      <c r="MP32">
        <f>IF(MP$1="DATE",COUNTIF($A$1:MP$1,"DATE"),"")</f>
        <v/>
      </c>
      <c r="MQ32">
        <f>IF(MQ$1="DATE",COUNTIF($A$1:MQ$1,"DATE"),"")</f>
        <v/>
      </c>
      <c r="MR32">
        <f>IF(MR$1="DATE",COUNTIF($A$1:MR$1,"DATE"),"")</f>
        <v/>
      </c>
      <c r="MS32">
        <f>IF(MS$1="DATE",COUNTIF($A$1:MS$1,"DATE"),"")</f>
        <v/>
      </c>
      <c r="MT32">
        <f>IF(MT$1="DATE",COUNTIF($A$1:MT$1,"DATE"),"")</f>
        <v/>
      </c>
      <c r="MU32">
        <f>IF(MU$1="DATE",COUNTIF($A$1:MU$1,"DATE"),"")</f>
        <v/>
      </c>
      <c r="MV32">
        <f>IF(MV$1="DATE",COUNTIF($A$1:MV$1,"DATE"),"")</f>
        <v/>
      </c>
      <c r="MW32">
        <f>IF(MW$1="DATE",COUNTIF($A$1:MW$1,"DATE"),"")</f>
        <v/>
      </c>
      <c r="MX32">
        <f>IF(MX$1="DATE",COUNTIF($A$1:MX$1,"DATE"),"")</f>
        <v/>
      </c>
      <c r="MY32">
        <f>IF(MY$1="DATE",COUNTIF($A$1:MY$1,"DATE"),"")</f>
        <v/>
      </c>
      <c r="MZ32">
        <f>IF(MZ$1="DATE",COUNTIF($A$1:MZ$1,"DATE"),"")</f>
        <v/>
      </c>
      <c r="NA32">
        <f>IF(NA$1="DATE",COUNTIF($A$1:NA$1,"DATE"),"")</f>
        <v/>
      </c>
      <c r="NB32">
        <f>IF(NB$1="DATE",COUNTIF($A$1:NB$1,"DATE"),"")</f>
        <v/>
      </c>
      <c r="NC32">
        <f>IF(NC$1="DATE",COUNTIF($A$1:NC$1,"DATE"),"")</f>
        <v/>
      </c>
      <c r="ND32">
        <f>IF(ND$1="DATE",COUNTIF($A$1:ND$1,"DATE"),"")</f>
        <v/>
      </c>
      <c r="NE32">
        <f>IF(NE$1="DATE",COUNTIF($A$1:NE$1,"DATE"),"")</f>
        <v/>
      </c>
      <c r="NF32">
        <f>IF(NF$1="DATE",COUNTIF($A$1:NF$1,"DATE"),"")</f>
        <v/>
      </c>
      <c r="NG32">
        <f>IF(NG$1="DATE",COUNTIF($A$1:NG$1,"DATE"),"")</f>
        <v/>
      </c>
      <c r="NH32">
        <f>IF(NH$1="DATE",COUNTIF($A$1:NH$1,"DATE"),"")</f>
        <v/>
      </c>
      <c r="NI32">
        <f>IF(NI$1="DATE",COUNTIF($A$1:NI$1,"DATE"),"")</f>
        <v/>
      </c>
      <c r="NJ32">
        <f>IF(NJ$1="DATE",COUNTIF($A$1:NJ$1,"DATE"),"")</f>
        <v/>
      </c>
      <c r="NK32">
        <f>IF(NK$1="DATE",COUNTIF($A$1:NK$1,"DATE"),"")</f>
        <v/>
      </c>
      <c r="NL32">
        <f>IF(NL$1="DATE",COUNTIF($A$1:NL$1,"DATE"),"")</f>
        <v/>
      </c>
      <c r="NM32">
        <f>IF(NM$1="DATE",COUNTIF($A$1:NM$1,"DATE"),"")</f>
        <v/>
      </c>
      <c r="NN32">
        <f>IF(NN$1="DATE",COUNTIF($A$1:NN$1,"DATE"),"")</f>
        <v/>
      </c>
      <c r="NO32">
        <f>IF(NO$1="DATE",COUNTIF($A$1:NO$1,"DATE"),"")</f>
        <v/>
      </c>
      <c r="NP32">
        <f>IF(NP$1="DATE",COUNTIF($A$1:NP$1,"DATE"),"")</f>
        <v/>
      </c>
      <c r="NQ32">
        <f>IF(NQ$1="DATE",COUNTIF($A$1:NQ$1,"DATE"),"")</f>
        <v/>
      </c>
      <c r="NR32">
        <f>IF(NR$1="DATE",COUNTIF($A$1:NR$1,"DATE"),"")</f>
        <v/>
      </c>
      <c r="NS32">
        <f>IF(NS$1="DATE",COUNTIF($A$1:NS$1,"DATE"),"")</f>
        <v/>
      </c>
      <c r="NT32">
        <f>IF(NT$1="DATE",COUNTIF($A$1:NT$1,"DATE"),"")</f>
        <v/>
      </c>
      <c r="NU32">
        <f>IF(NU$1="DATE",COUNTIF($A$1:NU$1,"DATE"),"")</f>
        <v/>
      </c>
      <c r="NV32">
        <f>IF(NV$1="DATE",COUNTIF($A$1:NV$1,"DATE"),"")</f>
        <v/>
      </c>
      <c r="NW32">
        <f>IF(NW$1="DATE",COUNTIF($A$1:NW$1,"DATE"),"")</f>
        <v/>
      </c>
      <c r="NX32">
        <f>IF(NX$1="DATE",COUNTIF($A$1:NX$1,"DATE"),"")</f>
        <v/>
      </c>
      <c r="NY32">
        <f>IF(NY$1="DATE",COUNTIF($A$1:NY$1,"DATE"),"")</f>
        <v/>
      </c>
      <c r="NZ32">
        <f>IF(NZ$1="DATE",COUNTIF($A$1:NZ$1,"DATE"),"")</f>
        <v/>
      </c>
      <c r="OA32">
        <f>IF(OA$1="DATE",COUNTIF($A$1:OA$1,"DATE"),"")</f>
        <v/>
      </c>
      <c r="OB32">
        <f>IF(OB$1="DATE",COUNTIF($A$1:OB$1,"DATE"),"")</f>
        <v/>
      </c>
      <c r="OC32">
        <f>IF(OC$1="DATE",COUNTIF($A$1:OC$1,"DATE"),"")</f>
        <v/>
      </c>
      <c r="OD32">
        <f>IF(OD$1="DATE",COUNTIF($A$1:OD$1,"DATE"),"")</f>
        <v/>
      </c>
      <c r="OE32">
        <f>IF(OE$1="DATE",COUNTIF($A$1:OE$1,"DATE"),"")</f>
        <v/>
      </c>
      <c r="OF32">
        <f>IF(OF$1="DATE",COUNTIF($A$1:OF$1,"DATE"),"")</f>
        <v/>
      </c>
      <c r="OG32">
        <f>IF(OG$1="DATE",COUNTIF($A$1:OG$1,"DATE"),"")</f>
        <v/>
      </c>
      <c r="OH32">
        <f>IF(OH$1="DATE",COUNTIF($A$1:OH$1,"DATE"),"")</f>
        <v/>
      </c>
      <c r="OI32">
        <f>IF(OI$1="DATE",COUNTIF($A$1:OI$1,"DATE"),"")</f>
        <v/>
      </c>
      <c r="OJ32">
        <f>IF(OJ$1="DATE",COUNTIF($A$1:OJ$1,"DATE"),"")</f>
        <v/>
      </c>
    </row>
    <row r="33" hidden="1">
      <c r="A33">
        <f>MAX(1,COUNTIF($A$1:$OJ$1,"&lt;="&amp;TODAY()))</f>
        <v/>
      </c>
      <c r="B33">
        <f>IFERROR(MATCH($A$33,$A$32:$OJ$32,0),1)</f>
        <v/>
      </c>
      <c r="C33">
        <f>COUNTIF($A$1:$OJ$1,"DATE")</f>
        <v/>
      </c>
      <c r="D33">
        <f>COUNTIF($1:$1,"DATE")</f>
        <v/>
      </c>
      <c r="E33">
        <f>SUM($A$34:$OJ$34)</f>
        <v/>
      </c>
      <c r="F33">
        <f>SUM($A$35:$OJ$35)</f>
        <v/>
      </c>
    </row>
    <row r="34" hidden="1">
      <c r="A34">
        <f>IF(AND(A$1="DATE",COUNT(A4,A5,A9,A10)&gt;0,A30=0),1,0)</f>
        <v/>
      </c>
      <c r="B34">
        <f>IF(AND(B$1="DATE",COUNT(B4,B5,B9,B10)&gt;0,B30=0),1,0)</f>
        <v/>
      </c>
      <c r="C34">
        <f>IF(AND(C$1="DATE",COUNT(C4,C5,C9,C10)&gt;0,C30=0),1,0)</f>
        <v/>
      </c>
      <c r="D34">
        <f>IF(AND(D$1="DATE",COUNT(D4,D5,D9,D10)&gt;0,D30=0),1,0)</f>
        <v/>
      </c>
      <c r="E34">
        <f>IF(AND(E$1="DATE",COUNT(E4,E5,E9,E10)&gt;0,E30=0),1,0)</f>
        <v/>
      </c>
      <c r="F34">
        <f>IF(AND(F$1="DATE",COUNT(F4,F5,F9,F10)&gt;0,F30=0),1,0)</f>
        <v/>
      </c>
      <c r="G34">
        <f>IF(AND(G$1="DATE",COUNT(G4,G5,G9,G10)&gt;0,G30=0),1,0)</f>
        <v/>
      </c>
      <c r="H34">
        <f>IF(AND(H$1="DATE",COUNT(H4,H5,H9,H10)&gt;0,H30=0),1,0)</f>
        <v/>
      </c>
      <c r="I34">
        <f>IF(AND(I$1="DATE",COUNT(I4,I5,I9,I10)&gt;0,I30=0),1,0)</f>
        <v/>
      </c>
      <c r="J34">
        <f>IF(AND(J$1="DATE",COUNT(J4,J5,J9,J10)&gt;0,J30=0),1,0)</f>
        <v/>
      </c>
      <c r="K34">
        <f>IF(AND(K$1="DATE",COUNT(K4,K5,K9,K10)&gt;0,K30=0),1,0)</f>
        <v/>
      </c>
      <c r="L34">
        <f>IF(AND(L$1="DATE",COUNT(L4,L5,L9,L10)&gt;0,L30=0),1,0)</f>
        <v/>
      </c>
      <c r="M34">
        <f>IF(AND(M$1="DATE",COUNT(M4,M5,M9,M10)&gt;0,M30=0),1,0)</f>
        <v/>
      </c>
      <c r="N34">
        <f>IF(AND(N$1="DATE",COUNT(N4,N5,N9,N10)&gt;0,N30=0),1,0)</f>
        <v/>
      </c>
      <c r="O34">
        <f>IF(AND(O$1="DATE",COUNT(O4,O5,O9,O10)&gt;0,O30=0),1,0)</f>
        <v/>
      </c>
      <c r="P34">
        <f>IF(AND(P$1="DATE",COUNT(P4,P5,P9,P10)&gt;0,P30=0),1,0)</f>
        <v/>
      </c>
      <c r="Q34">
        <f>IF(AND(Q$1="DATE",COUNT(Q4,Q5,Q9,Q10)&gt;0,Q30=0),1,0)</f>
        <v/>
      </c>
      <c r="R34">
        <f>IF(AND(R$1="DATE",COUNT(R4,R5,R9,R10)&gt;0,R30=0),1,0)</f>
        <v/>
      </c>
      <c r="S34">
        <f>IF(AND(S$1="DATE",COUNT(S4,S5,S9,S10)&gt;0,S30=0),1,0)</f>
        <v/>
      </c>
      <c r="T34">
        <f>IF(AND(T$1="DATE",COUNT(T4,T5,T9,T10)&gt;0,T30=0),1,0)</f>
        <v/>
      </c>
      <c r="U34">
        <f>IF(AND(U$1="DATE",COUNT(U4,U5,U9,U10)&gt;0,U30=0),1,0)</f>
        <v/>
      </c>
      <c r="V34">
        <f>IF(AND(V$1="DATE",COUNT(V4,V5,V9,V10)&gt;0,V30=0),1,0)</f>
        <v/>
      </c>
      <c r="W34">
        <f>IF(AND(W$1="DATE",COUNT(W4,W5,W9,W10)&gt;0,W30=0),1,0)</f>
        <v/>
      </c>
      <c r="X34">
        <f>IF(AND(X$1="DATE",COUNT(X4,X5,X9,X10)&gt;0,X30=0),1,0)</f>
        <v/>
      </c>
      <c r="Y34">
        <f>IF(AND(Y$1="DATE",COUNT(Y4,Y5,Y9,Y10)&gt;0,Y30=0),1,0)</f>
        <v/>
      </c>
      <c r="Z34">
        <f>IF(AND(Z$1="DATE",COUNT(Z4,Z5,Z9,Z10)&gt;0,Z30=0),1,0)</f>
        <v/>
      </c>
      <c r="AA34">
        <f>IF(AND(AA$1="DATE",COUNT(AA4,AA5,AA9,AA10)&gt;0,AA30=0),1,0)</f>
        <v/>
      </c>
      <c r="AB34">
        <f>IF(AND(AB$1="DATE",COUNT(AB4,AB5,AB9,AB10)&gt;0,AB30=0),1,0)</f>
        <v/>
      </c>
      <c r="AC34">
        <f>IF(AND(AC$1="DATE",COUNT(AC4,AC5,AC9,AC10)&gt;0,AC30=0),1,0)</f>
        <v/>
      </c>
      <c r="AD34">
        <f>IF(AND(AD$1="DATE",COUNT(AD4,AD5,AD9,AD10)&gt;0,AD30=0),1,0)</f>
        <v/>
      </c>
      <c r="AE34">
        <f>IF(AND(AE$1="DATE",COUNT(AE4,AE5,AE9,AE10)&gt;0,AE30=0),1,0)</f>
        <v/>
      </c>
      <c r="AF34">
        <f>IF(AND(AF$1="DATE",COUNT(AF4,AF5,AF9,AF10)&gt;0,AF30=0),1,0)</f>
        <v/>
      </c>
      <c r="AG34">
        <f>IF(AND(AG$1="DATE",COUNT(AG4,AG5,AG9,AG10)&gt;0,AG30=0),1,0)</f>
        <v/>
      </c>
      <c r="AH34">
        <f>IF(AND(AH$1="DATE",COUNT(AH4,AH5,AH9,AH10)&gt;0,AH30=0),1,0)</f>
        <v/>
      </c>
      <c r="AI34">
        <f>IF(AND(AI$1="DATE",COUNT(AI4,AI5,AI9,AI10)&gt;0,AI30=0),1,0)</f>
        <v/>
      </c>
      <c r="AJ34">
        <f>IF(AND(AJ$1="DATE",COUNT(AJ4,AJ5,AJ9,AJ10)&gt;0,AJ30=0),1,0)</f>
        <v/>
      </c>
      <c r="AK34">
        <f>IF(AND(AK$1="DATE",COUNT(AK4,AK5,AK9,AK10)&gt;0,AK30=0),1,0)</f>
        <v/>
      </c>
      <c r="AL34">
        <f>IF(AND(AL$1="DATE",COUNT(AL4,AL5,AL9,AL10)&gt;0,AL30=0),1,0)</f>
        <v/>
      </c>
      <c r="AM34">
        <f>IF(AND(AM$1="DATE",COUNT(AM4,AM5,AM9,AM10)&gt;0,AM30=0),1,0)</f>
        <v/>
      </c>
      <c r="AN34">
        <f>IF(AND(AN$1="DATE",COUNT(AN4,AN5,AN9,AN10)&gt;0,AN30=0),1,0)</f>
        <v/>
      </c>
      <c r="AO34">
        <f>IF(AND(AO$1="DATE",COUNT(AO4,AO5,AO9,AO10)&gt;0,AO30=0),1,0)</f>
        <v/>
      </c>
      <c r="AP34">
        <f>IF(AND(AP$1="DATE",COUNT(AP4,AP5,AP9,AP10)&gt;0,AP30=0),1,0)</f>
        <v/>
      </c>
      <c r="AQ34">
        <f>IF(AND(AQ$1="DATE",COUNT(AQ4,AQ5,AQ9,AQ10)&gt;0,AQ30=0),1,0)</f>
        <v/>
      </c>
      <c r="AR34">
        <f>IF(AND(AR$1="DATE",COUNT(AR4,AR5,AR9,AR10)&gt;0,AR30=0),1,0)</f>
        <v/>
      </c>
      <c r="AS34">
        <f>IF(AND(AS$1="DATE",COUNT(AS4,AS5,AS9,AS10)&gt;0,AS30=0),1,0)</f>
        <v/>
      </c>
      <c r="AT34">
        <f>IF(AND(AT$1="DATE",COUNT(AT4,AT5,AT9,AT10)&gt;0,AT30=0),1,0)</f>
        <v/>
      </c>
      <c r="AU34">
        <f>IF(AND(AU$1="DATE",COUNT(AU4,AU5,AU9,AU10)&gt;0,AU30=0),1,0)</f>
        <v/>
      </c>
      <c r="AV34">
        <f>IF(AND(AV$1="DATE",COUNT(AV4,AV5,AV9,AV10)&gt;0,AV30=0),1,0)</f>
        <v/>
      </c>
      <c r="AW34">
        <f>IF(AND(AW$1="DATE",COUNT(AW4,AW5,AW9,AW10)&gt;0,AW30=0),1,0)</f>
        <v/>
      </c>
      <c r="AX34">
        <f>IF(AND(AX$1="DATE",COUNT(AX4,AX5,AX9,AX10)&gt;0,AX30=0),1,0)</f>
        <v/>
      </c>
      <c r="AY34">
        <f>IF(AND(AY$1="DATE",COUNT(AY4,AY5,AY9,AY10)&gt;0,AY30=0),1,0)</f>
        <v/>
      </c>
      <c r="AZ34">
        <f>IF(AND(AZ$1="DATE",COUNT(AZ4,AZ5,AZ9,AZ10)&gt;0,AZ30=0),1,0)</f>
        <v/>
      </c>
      <c r="BA34">
        <f>IF(AND(BA$1="DATE",COUNT(BA4,BA5,BA9,BA10)&gt;0,BA30=0),1,0)</f>
        <v/>
      </c>
      <c r="BB34">
        <f>IF(AND(BB$1="DATE",COUNT(BB4,BB5,BB9,BB10)&gt;0,BB30=0),1,0)</f>
        <v/>
      </c>
      <c r="BC34">
        <f>IF(AND(BC$1="DATE",COUNT(BC4,BC5,BC9,BC10)&gt;0,BC30=0),1,0)</f>
        <v/>
      </c>
      <c r="BD34">
        <f>IF(AND(BD$1="DATE",COUNT(BD4,BD5,BD9,BD10)&gt;0,BD30=0),1,0)</f>
        <v/>
      </c>
      <c r="BE34">
        <f>IF(AND(BE$1="DATE",COUNT(BE4,BE5,BE9,BE10)&gt;0,BE30=0),1,0)</f>
        <v/>
      </c>
      <c r="BF34">
        <f>IF(AND(BF$1="DATE",COUNT(BF4,BF5,BF9,BF10)&gt;0,BF30=0),1,0)</f>
        <v/>
      </c>
      <c r="BG34">
        <f>IF(AND(BG$1="DATE",COUNT(BG4,BG5,BG9,BG10)&gt;0,BG30=0),1,0)</f>
        <v/>
      </c>
      <c r="BH34">
        <f>IF(AND(BH$1="DATE",COUNT(BH4,BH5,BH9,BH10)&gt;0,BH30=0),1,0)</f>
        <v/>
      </c>
      <c r="BI34">
        <f>IF(AND(BI$1="DATE",COUNT(BI4,BI5,BI9,BI10)&gt;0,BI30=0),1,0)</f>
        <v/>
      </c>
      <c r="BJ34">
        <f>IF(AND(BJ$1="DATE",COUNT(BJ4,BJ5,BJ9,BJ10)&gt;0,BJ30=0),1,0)</f>
        <v/>
      </c>
      <c r="BK34">
        <f>IF(AND(BK$1="DATE",COUNT(BK4,BK5,BK9,BK10)&gt;0,BK30=0),1,0)</f>
        <v/>
      </c>
      <c r="BL34">
        <f>IF(AND(BL$1="DATE",COUNT(BL4,BL5,BL9,BL10)&gt;0,BL30=0),1,0)</f>
        <v/>
      </c>
      <c r="BM34">
        <f>IF(AND(BM$1="DATE",COUNT(BM4,BM5,BM9,BM10)&gt;0,BM30=0),1,0)</f>
        <v/>
      </c>
      <c r="BN34">
        <f>IF(AND(BN$1="DATE",COUNT(BN4,BN5,BN9,BN10)&gt;0,BN30=0),1,0)</f>
        <v/>
      </c>
      <c r="BO34">
        <f>IF(AND(BO$1="DATE",COUNT(BO4,BO5,BO9,BO10)&gt;0,BO30=0),1,0)</f>
        <v/>
      </c>
      <c r="BP34">
        <f>IF(AND(BP$1="DATE",COUNT(BP4,BP5,BP9,BP10)&gt;0,BP30=0),1,0)</f>
        <v/>
      </c>
      <c r="BQ34">
        <f>IF(AND(BQ$1="DATE",COUNT(BQ4,BQ5,BQ9,BQ10)&gt;0,BQ30=0),1,0)</f>
        <v/>
      </c>
      <c r="BR34">
        <f>IF(AND(BR$1="DATE",COUNT(BR4,BR5,BR9,BR10)&gt;0,BR30=0),1,0)</f>
        <v/>
      </c>
      <c r="BS34">
        <f>IF(AND(BS$1="DATE",COUNT(BS4,BS5,BS9,BS10)&gt;0,BS30=0),1,0)</f>
        <v/>
      </c>
      <c r="BT34">
        <f>IF(AND(BT$1="DATE",COUNT(BT4,BT5,BT9,BT10)&gt;0,BT30=0),1,0)</f>
        <v/>
      </c>
      <c r="BU34">
        <f>IF(AND(BU$1="DATE",COUNT(BU4,BU5,BU9,BU10)&gt;0,BU30=0),1,0)</f>
        <v/>
      </c>
      <c r="BV34">
        <f>IF(AND(BV$1="DATE",COUNT(BV4,BV5,BV9,BV10)&gt;0,BV30=0),1,0)</f>
        <v/>
      </c>
      <c r="BW34">
        <f>IF(AND(BW$1="DATE",COUNT(BW4,BW5,BW9,BW10)&gt;0,BW30=0),1,0)</f>
        <v/>
      </c>
      <c r="BX34">
        <f>IF(AND(BX$1="DATE",COUNT(BX4,BX5,BX9,BX10)&gt;0,BX30=0),1,0)</f>
        <v/>
      </c>
      <c r="BY34">
        <f>IF(AND(BY$1="DATE",COUNT(BY4,BY5,BY9,BY10)&gt;0,BY30=0),1,0)</f>
        <v/>
      </c>
      <c r="BZ34">
        <f>IF(AND(BZ$1="DATE",COUNT(BZ4,BZ5,BZ9,BZ10)&gt;0,BZ30=0),1,0)</f>
        <v/>
      </c>
      <c r="CA34">
        <f>IF(AND(CA$1="DATE",COUNT(CA4,CA5,CA9,CA10)&gt;0,CA30=0),1,0)</f>
        <v/>
      </c>
      <c r="CB34">
        <f>IF(AND(CB$1="DATE",COUNT(CB4,CB5,CB9,CB10)&gt;0,CB30=0),1,0)</f>
        <v/>
      </c>
      <c r="CC34">
        <f>IF(AND(CC$1="DATE",COUNT(CC4,CC5,CC9,CC10)&gt;0,CC30=0),1,0)</f>
        <v/>
      </c>
      <c r="CD34">
        <f>IF(AND(CD$1="DATE",COUNT(CD4,CD5,CD9,CD10)&gt;0,CD30=0),1,0)</f>
        <v/>
      </c>
      <c r="CE34">
        <f>IF(AND(CE$1="DATE",COUNT(CE4,CE5,CE9,CE10)&gt;0,CE30=0),1,0)</f>
        <v/>
      </c>
      <c r="CF34">
        <f>IF(AND(CF$1="DATE",COUNT(CF4,CF5,CF9,CF10)&gt;0,CF30=0),1,0)</f>
        <v/>
      </c>
      <c r="CG34">
        <f>IF(AND(CG$1="DATE",COUNT(CG4,CG5,CG9,CG10)&gt;0,CG30=0),1,0)</f>
        <v/>
      </c>
      <c r="CH34">
        <f>IF(AND(CH$1="DATE",COUNT(CH4,CH5,CH9,CH10)&gt;0,CH30=0),1,0)</f>
        <v/>
      </c>
      <c r="CI34">
        <f>IF(AND(CI$1="DATE",COUNT(CI4,CI5,CI9,CI10)&gt;0,CI30=0),1,0)</f>
        <v/>
      </c>
      <c r="CJ34">
        <f>IF(AND(CJ$1="DATE",COUNT(CJ4,CJ5,CJ9,CJ10)&gt;0,CJ30=0),1,0)</f>
        <v/>
      </c>
      <c r="CK34">
        <f>IF(AND(CK$1="DATE",COUNT(CK4,CK5,CK9,CK10)&gt;0,CK30=0),1,0)</f>
        <v/>
      </c>
      <c r="CL34">
        <f>IF(AND(CL$1="DATE",COUNT(CL4,CL5,CL9,CL10)&gt;0,CL30=0),1,0)</f>
        <v/>
      </c>
      <c r="CM34">
        <f>IF(AND(CM$1="DATE",COUNT(CM4,CM5,CM9,CM10)&gt;0,CM30=0),1,0)</f>
        <v/>
      </c>
      <c r="CN34">
        <f>IF(AND(CN$1="DATE",COUNT(CN4,CN5,CN9,CN10)&gt;0,CN30=0),1,0)</f>
        <v/>
      </c>
      <c r="CO34">
        <f>IF(AND(CO$1="DATE",COUNT(CO4,CO5,CO9,CO10)&gt;0,CO30=0),1,0)</f>
        <v/>
      </c>
      <c r="CP34">
        <f>IF(AND(CP$1="DATE",COUNT(CP4,CP5,CP9,CP10)&gt;0,CP30=0),1,0)</f>
        <v/>
      </c>
      <c r="CQ34">
        <f>IF(AND(CQ$1="DATE",COUNT(CQ4,CQ5,CQ9,CQ10)&gt;0,CQ30=0),1,0)</f>
        <v/>
      </c>
      <c r="CR34">
        <f>IF(AND(CR$1="DATE",COUNT(CR4,CR5,CR9,CR10)&gt;0,CR30=0),1,0)</f>
        <v/>
      </c>
      <c r="CS34">
        <f>IF(AND(CS$1="DATE",COUNT(CS4,CS5,CS9,CS10)&gt;0,CS30=0),1,0)</f>
        <v/>
      </c>
      <c r="CT34">
        <f>IF(AND(CT$1="DATE",COUNT(CT4,CT5,CT9,CT10)&gt;0,CT30=0),1,0)</f>
        <v/>
      </c>
      <c r="CU34">
        <f>IF(AND(CU$1="DATE",COUNT(CU4,CU5,CU9,CU10)&gt;0,CU30=0),1,0)</f>
        <v/>
      </c>
      <c r="CV34">
        <f>IF(AND(CV$1="DATE",COUNT(CV4,CV5,CV9,CV10)&gt;0,CV30=0),1,0)</f>
        <v/>
      </c>
      <c r="CW34">
        <f>IF(AND(CW$1="DATE",COUNT(CW4,CW5,CW9,CW10)&gt;0,CW30=0),1,0)</f>
        <v/>
      </c>
      <c r="CX34">
        <f>IF(AND(CX$1="DATE",COUNT(CX4,CX5,CX9,CX10)&gt;0,CX30=0),1,0)</f>
        <v/>
      </c>
      <c r="CY34">
        <f>IF(AND(CY$1="DATE",COUNT(CY4,CY5,CY9,CY10)&gt;0,CY30=0),1,0)</f>
        <v/>
      </c>
      <c r="CZ34">
        <f>IF(AND(CZ$1="DATE",COUNT(CZ4,CZ5,CZ9,CZ10)&gt;0,CZ30=0),1,0)</f>
        <v/>
      </c>
      <c r="DA34">
        <f>IF(AND(DA$1="DATE",COUNT(DA4,DA5,DA9,DA10)&gt;0,DA30=0),1,0)</f>
        <v/>
      </c>
      <c r="DB34">
        <f>IF(AND(DB$1="DATE",COUNT(DB4,DB5,DB9,DB10)&gt;0,DB30=0),1,0)</f>
        <v/>
      </c>
      <c r="DC34">
        <f>IF(AND(DC$1="DATE",COUNT(DC4,DC5,DC9,DC10)&gt;0,DC30=0),1,0)</f>
        <v/>
      </c>
      <c r="DD34">
        <f>IF(AND(DD$1="DATE",COUNT(DD4,DD5,DD9,DD10)&gt;0,DD30=0),1,0)</f>
        <v/>
      </c>
      <c r="DE34">
        <f>IF(AND(DE$1="DATE",COUNT(DE4,DE5,DE9,DE10)&gt;0,DE30=0),1,0)</f>
        <v/>
      </c>
      <c r="DF34">
        <f>IF(AND(DF$1="DATE",COUNT(DF4,DF5,DF9,DF10)&gt;0,DF30=0),1,0)</f>
        <v/>
      </c>
      <c r="DG34">
        <f>IF(AND(DG$1="DATE",COUNT(DG4,DG5,DG9,DG10)&gt;0,DG30=0),1,0)</f>
        <v/>
      </c>
      <c r="DH34">
        <f>IF(AND(DH$1="DATE",COUNT(DH4,DH5,DH9,DH10)&gt;0,DH30=0),1,0)</f>
        <v/>
      </c>
      <c r="DI34">
        <f>IF(AND(DI$1="DATE",COUNT(DI4,DI5,DI9,DI10)&gt;0,DI30=0),1,0)</f>
        <v/>
      </c>
      <c r="DJ34">
        <f>IF(AND(DJ$1="DATE",COUNT(DJ4,DJ5,DJ9,DJ10)&gt;0,DJ30=0),1,0)</f>
        <v/>
      </c>
      <c r="DK34">
        <f>IF(AND(DK$1="DATE",COUNT(DK4,DK5,DK9,DK10)&gt;0,DK30=0),1,0)</f>
        <v/>
      </c>
      <c r="DL34">
        <f>IF(AND(DL$1="DATE",COUNT(DL4,DL5,DL9,DL10)&gt;0,DL30=0),1,0)</f>
        <v/>
      </c>
      <c r="DM34">
        <f>IF(AND(DM$1="DATE",COUNT(DM4,DM5,DM9,DM10)&gt;0,DM30=0),1,0)</f>
        <v/>
      </c>
      <c r="DN34">
        <f>IF(AND(DN$1="DATE",COUNT(DN4,DN5,DN9,DN10)&gt;0,DN30=0),1,0)</f>
        <v/>
      </c>
      <c r="DO34">
        <f>IF(AND(DO$1="DATE",COUNT(DO4,DO5,DO9,DO10)&gt;0,DO30=0),1,0)</f>
        <v/>
      </c>
      <c r="DP34">
        <f>IF(AND(DP$1="DATE",COUNT(DP4,DP5,DP9,DP10)&gt;0,DP30=0),1,0)</f>
        <v/>
      </c>
      <c r="DQ34">
        <f>IF(AND(DQ$1="DATE",COUNT(DQ4,DQ5,DQ9,DQ10)&gt;0,DQ30=0),1,0)</f>
        <v/>
      </c>
      <c r="DR34">
        <f>IF(AND(DR$1="DATE",COUNT(DR4,DR5,DR9,DR10)&gt;0,DR30=0),1,0)</f>
        <v/>
      </c>
      <c r="DS34">
        <f>IF(AND(DS$1="DATE",COUNT(DS4,DS5,DS9,DS10)&gt;0,DS30=0),1,0)</f>
        <v/>
      </c>
      <c r="DT34">
        <f>IF(AND(DT$1="DATE",COUNT(DT4,DT5,DT9,DT10)&gt;0,DT30=0),1,0)</f>
        <v/>
      </c>
      <c r="DU34">
        <f>IF(AND(DU$1="DATE",COUNT(DU4,DU5,DU9,DU10)&gt;0,DU30=0),1,0)</f>
        <v/>
      </c>
      <c r="DV34">
        <f>IF(AND(DV$1="DATE",COUNT(DV4,DV5,DV9,DV10)&gt;0,DV30=0),1,0)</f>
        <v/>
      </c>
      <c r="DW34">
        <f>IF(AND(DW$1="DATE",COUNT(DW4,DW5,DW9,DW10)&gt;0,DW30=0),1,0)</f>
        <v/>
      </c>
      <c r="DX34">
        <f>IF(AND(DX$1="DATE",COUNT(DX4,DX5,DX9,DX10)&gt;0,DX30=0),1,0)</f>
        <v/>
      </c>
      <c r="DY34">
        <f>IF(AND(DY$1="DATE",COUNT(DY4,DY5,DY9,DY10)&gt;0,DY30=0),1,0)</f>
        <v/>
      </c>
      <c r="DZ34">
        <f>IF(AND(DZ$1="DATE",COUNT(DZ4,DZ5,DZ9,DZ10)&gt;0,DZ30=0),1,0)</f>
        <v/>
      </c>
      <c r="EA34">
        <f>IF(AND(EA$1="DATE",COUNT(EA4,EA5,EA9,EA10)&gt;0,EA30=0),1,0)</f>
        <v/>
      </c>
      <c r="EB34">
        <f>IF(AND(EB$1="DATE",COUNT(EB4,EB5,EB9,EB10)&gt;0,EB30=0),1,0)</f>
        <v/>
      </c>
      <c r="EC34">
        <f>IF(AND(EC$1="DATE",COUNT(EC4,EC5,EC9,EC10)&gt;0,EC30=0),1,0)</f>
        <v/>
      </c>
      <c r="ED34">
        <f>IF(AND(ED$1="DATE",COUNT(ED4,ED5,ED9,ED10)&gt;0,ED30=0),1,0)</f>
        <v/>
      </c>
      <c r="EE34">
        <f>IF(AND(EE$1="DATE",COUNT(EE4,EE5,EE9,EE10)&gt;0,EE30=0),1,0)</f>
        <v/>
      </c>
      <c r="EF34">
        <f>IF(AND(EF$1="DATE",COUNT(EF4,EF5,EF9,EF10)&gt;0,EF30=0),1,0)</f>
        <v/>
      </c>
      <c r="EG34">
        <f>IF(AND(EG$1="DATE",COUNT(EG4,EG5,EG9,EG10)&gt;0,EG30=0),1,0)</f>
        <v/>
      </c>
      <c r="EH34">
        <f>IF(AND(EH$1="DATE",COUNT(EH4,EH5,EH9,EH10)&gt;0,EH30=0),1,0)</f>
        <v/>
      </c>
      <c r="EI34">
        <f>IF(AND(EI$1="DATE",COUNT(EI4,EI5,EI9,EI10)&gt;0,EI30=0),1,0)</f>
        <v/>
      </c>
      <c r="EJ34">
        <f>IF(AND(EJ$1="DATE",COUNT(EJ4,EJ5,EJ9,EJ10)&gt;0,EJ30=0),1,0)</f>
        <v/>
      </c>
      <c r="EK34">
        <f>IF(AND(EK$1="DATE",COUNT(EK4,EK5,EK9,EK10)&gt;0,EK30=0),1,0)</f>
        <v/>
      </c>
      <c r="EL34">
        <f>IF(AND(EL$1="DATE",COUNT(EL4,EL5,EL9,EL10)&gt;0,EL30=0),1,0)</f>
        <v/>
      </c>
      <c r="EM34">
        <f>IF(AND(EM$1="DATE",COUNT(EM4,EM5,EM9,EM10)&gt;0,EM30=0),1,0)</f>
        <v/>
      </c>
      <c r="EN34">
        <f>IF(AND(EN$1="DATE",COUNT(EN4,EN5,EN9,EN10)&gt;0,EN30=0),1,0)</f>
        <v/>
      </c>
      <c r="EO34">
        <f>IF(AND(EO$1="DATE",COUNT(EO4,EO5,EO9,EO10)&gt;0,EO30=0),1,0)</f>
        <v/>
      </c>
      <c r="EP34">
        <f>IF(AND(EP$1="DATE",COUNT(EP4,EP5,EP9,EP10)&gt;0,EP30=0),1,0)</f>
        <v/>
      </c>
      <c r="EQ34">
        <f>IF(AND(EQ$1="DATE",COUNT(EQ4,EQ5,EQ9,EQ10)&gt;0,EQ30=0),1,0)</f>
        <v/>
      </c>
      <c r="ER34">
        <f>IF(AND(ER$1="DATE",COUNT(ER4,ER5,ER9,ER10)&gt;0,ER30=0),1,0)</f>
        <v/>
      </c>
      <c r="ES34">
        <f>IF(AND(ES$1="DATE",COUNT(ES4,ES5,ES9,ES10)&gt;0,ES30=0),1,0)</f>
        <v/>
      </c>
      <c r="ET34">
        <f>IF(AND(ET$1="DATE",COUNT(ET4,ET5,ET9,ET10)&gt;0,ET30=0),1,0)</f>
        <v/>
      </c>
      <c r="EU34">
        <f>IF(AND(EU$1="DATE",COUNT(EU4,EU5,EU9,EU10)&gt;0,EU30=0),1,0)</f>
        <v/>
      </c>
      <c r="EV34">
        <f>IF(AND(EV$1="DATE",COUNT(EV4,EV5,EV9,EV10)&gt;0,EV30=0),1,0)</f>
        <v/>
      </c>
      <c r="EW34">
        <f>IF(AND(EW$1="DATE",COUNT(EW4,EW5,EW9,EW10)&gt;0,EW30=0),1,0)</f>
        <v/>
      </c>
      <c r="EX34">
        <f>IF(AND(EX$1="DATE",COUNT(EX4,EX5,EX9,EX10)&gt;0,EX30=0),1,0)</f>
        <v/>
      </c>
      <c r="EY34">
        <f>IF(AND(EY$1="DATE",COUNT(EY4,EY5,EY9,EY10)&gt;0,EY30=0),1,0)</f>
        <v/>
      </c>
      <c r="EZ34">
        <f>IF(AND(EZ$1="DATE",COUNT(EZ4,EZ5,EZ9,EZ10)&gt;0,EZ30=0),1,0)</f>
        <v/>
      </c>
      <c r="FA34">
        <f>IF(AND(FA$1="DATE",COUNT(FA4,FA5,FA9,FA10)&gt;0,FA30=0),1,0)</f>
        <v/>
      </c>
      <c r="FB34">
        <f>IF(AND(FB$1="DATE",COUNT(FB4,FB5,FB9,FB10)&gt;0,FB30=0),1,0)</f>
        <v/>
      </c>
      <c r="FC34">
        <f>IF(AND(FC$1="DATE",COUNT(FC4,FC5,FC9,FC10)&gt;0,FC30=0),1,0)</f>
        <v/>
      </c>
      <c r="FD34">
        <f>IF(AND(FD$1="DATE",COUNT(FD4,FD5,FD9,FD10)&gt;0,FD30=0),1,0)</f>
        <v/>
      </c>
      <c r="FE34">
        <f>IF(AND(FE$1="DATE",COUNT(FE4,FE5,FE9,FE10)&gt;0,FE30=0),1,0)</f>
        <v/>
      </c>
      <c r="FF34">
        <f>IF(AND(FF$1="DATE",COUNT(FF4,FF5,FF9,FF10)&gt;0,FF30=0),1,0)</f>
        <v/>
      </c>
      <c r="FG34">
        <f>IF(AND(FG$1="DATE",COUNT(FG4,FG5,FG9,FG10)&gt;0,FG30=0),1,0)</f>
        <v/>
      </c>
      <c r="FH34">
        <f>IF(AND(FH$1="DATE",COUNT(FH4,FH5,FH9,FH10)&gt;0,FH30=0),1,0)</f>
        <v/>
      </c>
      <c r="FI34">
        <f>IF(AND(FI$1="DATE",COUNT(FI4,FI5,FI9,FI10)&gt;0,FI30=0),1,0)</f>
        <v/>
      </c>
      <c r="FJ34">
        <f>IF(AND(FJ$1="DATE",COUNT(FJ4,FJ5,FJ9,FJ10)&gt;0,FJ30=0),1,0)</f>
        <v/>
      </c>
      <c r="FK34">
        <f>IF(AND(FK$1="DATE",COUNT(FK4,FK5,FK9,FK10)&gt;0,FK30=0),1,0)</f>
        <v/>
      </c>
      <c r="FL34">
        <f>IF(AND(FL$1="DATE",COUNT(FL4,FL5,FL9,FL10)&gt;0,FL30=0),1,0)</f>
        <v/>
      </c>
      <c r="FM34">
        <f>IF(AND(FM$1="DATE",COUNT(FM4,FM5,FM9,FM10)&gt;0,FM30=0),1,0)</f>
        <v/>
      </c>
      <c r="FN34">
        <f>IF(AND(FN$1="DATE",COUNT(FN4,FN5,FN9,FN10)&gt;0,FN30=0),1,0)</f>
        <v/>
      </c>
      <c r="FO34">
        <f>IF(AND(FO$1="DATE",COUNT(FO4,FO5,FO9,FO10)&gt;0,FO30=0),1,0)</f>
        <v/>
      </c>
      <c r="FP34">
        <f>IF(AND(FP$1="DATE",COUNT(FP4,FP5,FP9,FP10)&gt;0,FP30=0),1,0)</f>
        <v/>
      </c>
      <c r="FQ34">
        <f>IF(AND(FQ$1="DATE",COUNT(FQ4,FQ5,FQ9,FQ10)&gt;0,FQ30=0),1,0)</f>
        <v/>
      </c>
      <c r="FR34">
        <f>IF(AND(FR$1="DATE",COUNT(FR4,FR5,FR9,FR10)&gt;0,FR30=0),1,0)</f>
        <v/>
      </c>
      <c r="FS34">
        <f>IF(AND(FS$1="DATE",COUNT(FS4,FS5,FS9,FS10)&gt;0,FS30=0),1,0)</f>
        <v/>
      </c>
      <c r="FT34">
        <f>IF(AND(FT$1="DATE",COUNT(FT4,FT5,FT9,FT10)&gt;0,FT30=0),1,0)</f>
        <v/>
      </c>
      <c r="FU34">
        <f>IF(AND(FU$1="DATE",COUNT(FU4,FU5,FU9,FU10)&gt;0,FU30=0),1,0)</f>
        <v/>
      </c>
      <c r="FV34">
        <f>IF(AND(FV$1="DATE",COUNT(FV4,FV5,FV9,FV10)&gt;0,FV30=0),1,0)</f>
        <v/>
      </c>
      <c r="FW34">
        <f>IF(AND(FW$1="DATE",COUNT(FW4,FW5,FW9,FW10)&gt;0,FW30=0),1,0)</f>
        <v/>
      </c>
      <c r="FX34">
        <f>IF(AND(FX$1="DATE",COUNT(FX4,FX5,FX9,FX10)&gt;0,FX30=0),1,0)</f>
        <v/>
      </c>
      <c r="FY34">
        <f>IF(AND(FY$1="DATE",COUNT(FY4,FY5,FY9,FY10)&gt;0,FY30=0),1,0)</f>
        <v/>
      </c>
      <c r="FZ34">
        <f>IF(AND(FZ$1="DATE",COUNT(FZ4,FZ5,FZ9,FZ10)&gt;0,FZ30=0),1,0)</f>
        <v/>
      </c>
      <c r="GA34">
        <f>IF(AND(GA$1="DATE",COUNT(GA4,GA5,GA9,GA10)&gt;0,GA30=0),1,0)</f>
        <v/>
      </c>
      <c r="GB34">
        <f>IF(AND(GB$1="DATE",COUNT(GB4,GB5,GB9,GB10)&gt;0,GB30=0),1,0)</f>
        <v/>
      </c>
      <c r="GC34">
        <f>IF(AND(GC$1="DATE",COUNT(GC4,GC5,GC9,GC10)&gt;0,GC30=0),1,0)</f>
        <v/>
      </c>
      <c r="GD34">
        <f>IF(AND(GD$1="DATE",COUNT(GD4,GD5,GD9,GD10)&gt;0,GD30=0),1,0)</f>
        <v/>
      </c>
      <c r="GE34">
        <f>IF(AND(GE$1="DATE",COUNT(GE4,GE5,GE9,GE10)&gt;0,GE30=0),1,0)</f>
        <v/>
      </c>
      <c r="GF34">
        <f>IF(AND(GF$1="DATE",COUNT(GF4,GF5,GF9,GF10)&gt;0,GF30=0),1,0)</f>
        <v/>
      </c>
      <c r="GG34">
        <f>IF(AND(GG$1="DATE",COUNT(GG4,GG5,GG9,GG10)&gt;0,GG30=0),1,0)</f>
        <v/>
      </c>
      <c r="GH34">
        <f>IF(AND(GH$1="DATE",COUNT(GH4,GH5,GH9,GH10)&gt;0,GH30=0),1,0)</f>
        <v/>
      </c>
      <c r="GI34">
        <f>IF(AND(GI$1="DATE",COUNT(GI4,GI5,GI9,GI10)&gt;0,GI30=0),1,0)</f>
        <v/>
      </c>
      <c r="GJ34">
        <f>IF(AND(GJ$1="DATE",COUNT(GJ4,GJ5,GJ9,GJ10)&gt;0,GJ30=0),1,0)</f>
        <v/>
      </c>
      <c r="GK34">
        <f>IF(AND(GK$1="DATE",COUNT(GK4,GK5,GK9,GK10)&gt;0,GK30=0),1,0)</f>
        <v/>
      </c>
      <c r="GL34">
        <f>IF(AND(GL$1="DATE",COUNT(GL4,GL5,GL9,GL10)&gt;0,GL30=0),1,0)</f>
        <v/>
      </c>
      <c r="GM34">
        <f>IF(AND(GM$1="DATE",COUNT(GM4,GM5,GM9,GM10)&gt;0,GM30=0),1,0)</f>
        <v/>
      </c>
      <c r="GN34">
        <f>IF(AND(GN$1="DATE",COUNT(GN4,GN5,GN9,GN10)&gt;0,GN30=0),1,0)</f>
        <v/>
      </c>
      <c r="GO34">
        <f>IF(AND(GO$1="DATE",COUNT(GO4,GO5,GO9,GO10)&gt;0,GO30=0),1,0)</f>
        <v/>
      </c>
      <c r="GP34">
        <f>IF(AND(GP$1="DATE",COUNT(GP4,GP5,GP9,GP10)&gt;0,GP30=0),1,0)</f>
        <v/>
      </c>
      <c r="GQ34">
        <f>IF(AND(GQ$1="DATE",COUNT(GQ4,GQ5,GQ9,GQ10)&gt;0,GQ30=0),1,0)</f>
        <v/>
      </c>
      <c r="GR34">
        <f>IF(AND(GR$1="DATE",COUNT(GR4,GR5,GR9,GR10)&gt;0,GR30=0),1,0)</f>
        <v/>
      </c>
      <c r="GS34">
        <f>IF(AND(GS$1="DATE",COUNT(GS4,GS5,GS9,GS10)&gt;0,GS30=0),1,0)</f>
        <v/>
      </c>
      <c r="GT34">
        <f>IF(AND(GT$1="DATE",COUNT(GT4,GT5,GT9,GT10)&gt;0,GT30=0),1,0)</f>
        <v/>
      </c>
      <c r="GU34">
        <f>IF(AND(GU$1="DATE",COUNT(GU4,GU5,GU9,GU10)&gt;0,GU30=0),1,0)</f>
        <v/>
      </c>
      <c r="GV34">
        <f>IF(AND(GV$1="DATE",COUNT(GV4,GV5,GV9,GV10)&gt;0,GV30=0),1,0)</f>
        <v/>
      </c>
      <c r="GW34">
        <f>IF(AND(GW$1="DATE",COUNT(GW4,GW5,GW9,GW10)&gt;0,GW30=0),1,0)</f>
        <v/>
      </c>
      <c r="GX34">
        <f>IF(AND(GX$1="DATE",COUNT(GX4,GX5,GX9,GX10)&gt;0,GX30=0),1,0)</f>
        <v/>
      </c>
      <c r="GY34">
        <f>IF(AND(GY$1="DATE",COUNT(GY4,GY5,GY9,GY10)&gt;0,GY30=0),1,0)</f>
        <v/>
      </c>
      <c r="GZ34">
        <f>IF(AND(GZ$1="DATE",COUNT(GZ4,GZ5,GZ9,GZ10)&gt;0,GZ30=0),1,0)</f>
        <v/>
      </c>
      <c r="HA34">
        <f>IF(AND(HA$1="DATE",COUNT(HA4,HA5,HA9,HA10)&gt;0,HA30=0),1,0)</f>
        <v/>
      </c>
      <c r="HB34">
        <f>IF(AND(HB$1="DATE",COUNT(HB4,HB5,HB9,HB10)&gt;0,HB30=0),1,0)</f>
        <v/>
      </c>
      <c r="HC34">
        <f>IF(AND(HC$1="DATE",COUNT(HC4,HC5,HC9,HC10)&gt;0,HC30=0),1,0)</f>
        <v/>
      </c>
      <c r="HD34">
        <f>IF(AND(HD$1="DATE",COUNT(HD4,HD5,HD9,HD10)&gt;0,HD30=0),1,0)</f>
        <v/>
      </c>
      <c r="HE34">
        <f>IF(AND(HE$1="DATE",COUNT(HE4,HE5,HE9,HE10)&gt;0,HE30=0),1,0)</f>
        <v/>
      </c>
      <c r="HF34">
        <f>IF(AND(HF$1="DATE",COUNT(HF4,HF5,HF9,HF10)&gt;0,HF30=0),1,0)</f>
        <v/>
      </c>
      <c r="HG34">
        <f>IF(AND(HG$1="DATE",COUNT(HG4,HG5,HG9,HG10)&gt;0,HG30=0),1,0)</f>
        <v/>
      </c>
      <c r="HH34">
        <f>IF(AND(HH$1="DATE",COUNT(HH4,HH5,HH9,HH10)&gt;0,HH30=0),1,0)</f>
        <v/>
      </c>
      <c r="HI34">
        <f>IF(AND(HI$1="DATE",COUNT(HI4,HI5,HI9,HI10)&gt;0,HI30=0),1,0)</f>
        <v/>
      </c>
      <c r="HJ34">
        <f>IF(AND(HJ$1="DATE",COUNT(HJ4,HJ5,HJ9,HJ10)&gt;0,HJ30=0),1,0)</f>
        <v/>
      </c>
      <c r="HK34">
        <f>IF(AND(HK$1="DATE",COUNT(HK4,HK5,HK9,HK10)&gt;0,HK30=0),1,0)</f>
        <v/>
      </c>
      <c r="HL34">
        <f>IF(AND(HL$1="DATE",COUNT(HL4,HL5,HL9,HL10)&gt;0,HL30=0),1,0)</f>
        <v/>
      </c>
      <c r="HM34">
        <f>IF(AND(HM$1="DATE",COUNT(HM4,HM5,HM9,HM10)&gt;0,HM30=0),1,0)</f>
        <v/>
      </c>
      <c r="HN34">
        <f>IF(AND(HN$1="DATE",COUNT(HN4,HN5,HN9,HN10)&gt;0,HN30=0),1,0)</f>
        <v/>
      </c>
      <c r="HO34">
        <f>IF(AND(HO$1="DATE",COUNT(HO4,HO5,HO9,HO10)&gt;0,HO30=0),1,0)</f>
        <v/>
      </c>
      <c r="HP34">
        <f>IF(AND(HP$1="DATE",COUNT(HP4,HP5,HP9,HP10)&gt;0,HP30=0),1,0)</f>
        <v/>
      </c>
      <c r="HQ34">
        <f>IF(AND(HQ$1="DATE",COUNT(HQ4,HQ5,HQ9,HQ10)&gt;0,HQ30=0),1,0)</f>
        <v/>
      </c>
      <c r="HR34">
        <f>IF(AND(HR$1="DATE",COUNT(HR4,HR5,HR9,HR10)&gt;0,HR30=0),1,0)</f>
        <v/>
      </c>
      <c r="HS34">
        <f>IF(AND(HS$1="DATE",COUNT(HS4,HS5,HS9,HS10)&gt;0,HS30=0),1,0)</f>
        <v/>
      </c>
      <c r="HT34">
        <f>IF(AND(HT$1="DATE",COUNT(HT4,HT5,HT9,HT10)&gt;0,HT30=0),1,0)</f>
        <v/>
      </c>
      <c r="HU34">
        <f>IF(AND(HU$1="DATE",COUNT(HU4,HU5,HU9,HU10)&gt;0,HU30=0),1,0)</f>
        <v/>
      </c>
      <c r="HV34">
        <f>IF(AND(HV$1="DATE",COUNT(HV4,HV5,HV9,HV10)&gt;0,HV30=0),1,0)</f>
        <v/>
      </c>
      <c r="HW34">
        <f>IF(AND(HW$1="DATE",COUNT(HW4,HW5,HW9,HW10)&gt;0,HW30=0),1,0)</f>
        <v/>
      </c>
      <c r="HX34">
        <f>IF(AND(HX$1="DATE",COUNT(HX4,HX5,HX9,HX10)&gt;0,HX30=0),1,0)</f>
        <v/>
      </c>
      <c r="HY34">
        <f>IF(AND(HY$1="DATE",COUNT(HY4,HY5,HY9,HY10)&gt;0,HY30=0),1,0)</f>
        <v/>
      </c>
      <c r="HZ34">
        <f>IF(AND(HZ$1="DATE",COUNT(HZ4,HZ5,HZ9,HZ10)&gt;0,HZ30=0),1,0)</f>
        <v/>
      </c>
      <c r="IA34">
        <f>IF(AND(IA$1="DATE",COUNT(IA4,IA5,IA9,IA10)&gt;0,IA30=0),1,0)</f>
        <v/>
      </c>
      <c r="IB34">
        <f>IF(AND(IB$1="DATE",COUNT(IB4,IB5,IB9,IB10)&gt;0,IB30=0),1,0)</f>
        <v/>
      </c>
      <c r="IC34">
        <f>IF(AND(IC$1="DATE",COUNT(IC4,IC5,IC9,IC10)&gt;0,IC30=0),1,0)</f>
        <v/>
      </c>
      <c r="ID34">
        <f>IF(AND(ID$1="DATE",COUNT(ID4,ID5,ID9,ID10)&gt;0,ID30=0),1,0)</f>
        <v/>
      </c>
      <c r="IE34">
        <f>IF(AND(IE$1="DATE",COUNT(IE4,IE5,IE9,IE10)&gt;0,IE30=0),1,0)</f>
        <v/>
      </c>
      <c r="IF34">
        <f>IF(AND(IF$1="DATE",COUNT(IF4,IF5,IF9,IF10)&gt;0,IF30=0),1,0)</f>
        <v/>
      </c>
      <c r="IG34">
        <f>IF(AND(IG$1="DATE",COUNT(IG4,IG5,IG9,IG10)&gt;0,IG30=0),1,0)</f>
        <v/>
      </c>
      <c r="IH34">
        <f>IF(AND(IH$1="DATE",COUNT(IH4,IH5,IH9,IH10)&gt;0,IH30=0),1,0)</f>
        <v/>
      </c>
      <c r="II34">
        <f>IF(AND(II$1="DATE",COUNT(II4,II5,II9,II10)&gt;0,II30=0),1,0)</f>
        <v/>
      </c>
      <c r="IJ34">
        <f>IF(AND(IJ$1="DATE",COUNT(IJ4,IJ5,IJ9,IJ10)&gt;0,IJ30=0),1,0)</f>
        <v/>
      </c>
      <c r="IK34">
        <f>IF(AND(IK$1="DATE",COUNT(IK4,IK5,IK9,IK10)&gt;0,IK30=0),1,0)</f>
        <v/>
      </c>
      <c r="IL34">
        <f>IF(AND(IL$1="DATE",COUNT(IL4,IL5,IL9,IL10)&gt;0,IL30=0),1,0)</f>
        <v/>
      </c>
      <c r="IM34">
        <f>IF(AND(IM$1="DATE",COUNT(IM4,IM5,IM9,IM10)&gt;0,IM30=0),1,0)</f>
        <v/>
      </c>
      <c r="IN34">
        <f>IF(AND(IN$1="DATE",COUNT(IN4,IN5,IN9,IN10)&gt;0,IN30=0),1,0)</f>
        <v/>
      </c>
      <c r="IO34">
        <f>IF(AND(IO$1="DATE",COUNT(IO4,IO5,IO9,IO10)&gt;0,IO30=0),1,0)</f>
        <v/>
      </c>
      <c r="IP34">
        <f>IF(AND(IP$1="DATE",COUNT(IP4,IP5,IP9,IP10)&gt;0,IP30=0),1,0)</f>
        <v/>
      </c>
      <c r="IQ34">
        <f>IF(AND(IQ$1="DATE",COUNT(IQ4,IQ5,IQ9,IQ10)&gt;0,IQ30=0),1,0)</f>
        <v/>
      </c>
      <c r="IR34">
        <f>IF(AND(IR$1="DATE",COUNT(IR4,IR5,IR9,IR10)&gt;0,IR30=0),1,0)</f>
        <v/>
      </c>
      <c r="IS34">
        <f>IF(AND(IS$1="DATE",COUNT(IS4,IS5,IS9,IS10)&gt;0,IS30=0),1,0)</f>
        <v/>
      </c>
      <c r="IT34">
        <f>IF(AND(IT$1="DATE",COUNT(IT4,IT5,IT9,IT10)&gt;0,IT30=0),1,0)</f>
        <v/>
      </c>
      <c r="IU34">
        <f>IF(AND(IU$1="DATE",COUNT(IU4,IU5,IU9,IU10)&gt;0,IU30=0),1,0)</f>
        <v/>
      </c>
      <c r="IV34">
        <f>IF(AND(IV$1="DATE",COUNT(IV4,IV5,IV9,IV10)&gt;0,IV30=0),1,0)</f>
        <v/>
      </c>
      <c r="IW34">
        <f>IF(AND(IW$1="DATE",COUNT(IW4,IW5,IW9,IW10)&gt;0,IW30=0),1,0)</f>
        <v/>
      </c>
      <c r="IX34">
        <f>IF(AND(IX$1="DATE",COUNT(IX4,IX5,IX9,IX10)&gt;0,IX30=0),1,0)</f>
        <v/>
      </c>
      <c r="IY34">
        <f>IF(AND(IY$1="DATE",COUNT(IY4,IY5,IY9,IY10)&gt;0,IY30=0),1,0)</f>
        <v/>
      </c>
      <c r="IZ34">
        <f>IF(AND(IZ$1="DATE",COUNT(IZ4,IZ5,IZ9,IZ10)&gt;0,IZ30=0),1,0)</f>
        <v/>
      </c>
      <c r="JA34">
        <f>IF(AND(JA$1="DATE",COUNT(JA4,JA5,JA9,JA10)&gt;0,JA30=0),1,0)</f>
        <v/>
      </c>
      <c r="JB34">
        <f>IF(AND(JB$1="DATE",COUNT(JB4,JB5,JB9,JB10)&gt;0,JB30=0),1,0)</f>
        <v/>
      </c>
      <c r="JC34">
        <f>IF(AND(JC$1="DATE",COUNT(JC4,JC5,JC9,JC10)&gt;0,JC30=0),1,0)</f>
        <v/>
      </c>
      <c r="JD34">
        <f>IF(AND(JD$1="DATE",COUNT(JD4,JD5,JD9,JD10)&gt;0,JD30=0),1,0)</f>
        <v/>
      </c>
      <c r="JE34">
        <f>IF(AND(JE$1="DATE",COUNT(JE4,JE5,JE9,JE10)&gt;0,JE30=0),1,0)</f>
        <v/>
      </c>
      <c r="JF34">
        <f>IF(AND(JF$1="DATE",COUNT(JF4,JF5,JF9,JF10)&gt;0,JF30=0),1,0)</f>
        <v/>
      </c>
      <c r="JG34">
        <f>IF(AND(JG$1="DATE",COUNT(JG4,JG5,JG9,JG10)&gt;0,JG30=0),1,0)</f>
        <v/>
      </c>
      <c r="JH34">
        <f>IF(AND(JH$1="DATE",COUNT(JH4,JH5,JH9,JH10)&gt;0,JH30=0),1,0)</f>
        <v/>
      </c>
      <c r="JI34">
        <f>IF(AND(JI$1="DATE",COUNT(JI4,JI5,JI9,JI10)&gt;0,JI30=0),1,0)</f>
        <v/>
      </c>
      <c r="JJ34">
        <f>IF(AND(JJ$1="DATE",COUNT(JJ4,JJ5,JJ9,JJ10)&gt;0,JJ30=0),1,0)</f>
        <v/>
      </c>
      <c r="JK34">
        <f>IF(AND(JK$1="DATE",COUNT(JK4,JK5,JK9,JK10)&gt;0,JK30=0),1,0)</f>
        <v/>
      </c>
      <c r="JL34">
        <f>IF(AND(JL$1="DATE",COUNT(JL4,JL5,JL9,JL10)&gt;0,JL30=0),1,0)</f>
        <v/>
      </c>
      <c r="JM34">
        <f>IF(AND(JM$1="DATE",COUNT(JM4,JM5,JM9,JM10)&gt;0,JM30=0),1,0)</f>
        <v/>
      </c>
      <c r="JN34">
        <f>IF(AND(JN$1="DATE",COUNT(JN4,JN5,JN9,JN10)&gt;0,JN30=0),1,0)</f>
        <v/>
      </c>
      <c r="JO34">
        <f>IF(AND(JO$1="DATE",COUNT(JO4,JO5,JO9,JO10)&gt;0,JO30=0),1,0)</f>
        <v/>
      </c>
      <c r="JP34">
        <f>IF(AND(JP$1="DATE",COUNT(JP4,JP5,JP9,JP10)&gt;0,JP30=0),1,0)</f>
        <v/>
      </c>
      <c r="JQ34">
        <f>IF(AND(JQ$1="DATE",COUNT(JQ4,JQ5,JQ9,JQ10)&gt;0,JQ30=0),1,0)</f>
        <v/>
      </c>
      <c r="JR34">
        <f>IF(AND(JR$1="DATE",COUNT(JR4,JR5,JR9,JR10)&gt;0,JR30=0),1,0)</f>
        <v/>
      </c>
      <c r="JS34">
        <f>IF(AND(JS$1="DATE",COUNT(JS4,JS5,JS9,JS10)&gt;0,JS30=0),1,0)</f>
        <v/>
      </c>
      <c r="JT34">
        <f>IF(AND(JT$1="DATE",COUNT(JT4,JT5,JT9,JT10)&gt;0,JT30=0),1,0)</f>
        <v/>
      </c>
      <c r="JU34">
        <f>IF(AND(JU$1="DATE",COUNT(JU4,JU5,JU9,JU10)&gt;0,JU30=0),1,0)</f>
        <v/>
      </c>
      <c r="JV34">
        <f>IF(AND(JV$1="DATE",COUNT(JV4,JV5,JV9,JV10)&gt;0,JV30=0),1,0)</f>
        <v/>
      </c>
      <c r="JW34">
        <f>IF(AND(JW$1="DATE",COUNT(JW4,JW5,JW9,JW10)&gt;0,JW30=0),1,0)</f>
        <v/>
      </c>
      <c r="JX34">
        <f>IF(AND(JX$1="DATE",COUNT(JX4,JX5,JX9,JX10)&gt;0,JX30=0),1,0)</f>
        <v/>
      </c>
      <c r="JY34">
        <f>IF(AND(JY$1="DATE",COUNT(JY4,JY5,JY9,JY10)&gt;0,JY30=0),1,0)</f>
        <v/>
      </c>
      <c r="JZ34">
        <f>IF(AND(JZ$1="DATE",COUNT(JZ4,JZ5,JZ9,JZ10)&gt;0,JZ30=0),1,0)</f>
        <v/>
      </c>
      <c r="KA34">
        <f>IF(AND(KA$1="DATE",COUNT(KA4,KA5,KA9,KA10)&gt;0,KA30=0),1,0)</f>
        <v/>
      </c>
      <c r="KB34">
        <f>IF(AND(KB$1="DATE",COUNT(KB4,KB5,KB9,KB10)&gt;0,KB30=0),1,0)</f>
        <v/>
      </c>
      <c r="KC34">
        <f>IF(AND(KC$1="DATE",COUNT(KC4,KC5,KC9,KC10)&gt;0,KC30=0),1,0)</f>
        <v/>
      </c>
      <c r="KD34">
        <f>IF(AND(KD$1="DATE",COUNT(KD4,KD5,KD9,KD10)&gt;0,KD30=0),1,0)</f>
        <v/>
      </c>
      <c r="KE34">
        <f>IF(AND(KE$1="DATE",COUNT(KE4,KE5,KE9,KE10)&gt;0,KE30=0),1,0)</f>
        <v/>
      </c>
      <c r="KF34">
        <f>IF(AND(KF$1="DATE",COUNT(KF4,KF5,KF9,KF10)&gt;0,KF30=0),1,0)</f>
        <v/>
      </c>
      <c r="KG34">
        <f>IF(AND(KG$1="DATE",COUNT(KG4,KG5,KG9,KG10)&gt;0,KG30=0),1,0)</f>
        <v/>
      </c>
      <c r="KH34">
        <f>IF(AND(KH$1="DATE",COUNT(KH4,KH5,KH9,KH10)&gt;0,KH30=0),1,0)</f>
        <v/>
      </c>
      <c r="KI34">
        <f>IF(AND(KI$1="DATE",COUNT(KI4,KI5,KI9,KI10)&gt;0,KI30=0),1,0)</f>
        <v/>
      </c>
      <c r="KJ34">
        <f>IF(AND(KJ$1="DATE",COUNT(KJ4,KJ5,KJ9,KJ10)&gt;0,KJ30=0),1,0)</f>
        <v/>
      </c>
      <c r="KK34">
        <f>IF(AND(KK$1="DATE",COUNT(KK4,KK5,KK9,KK10)&gt;0,KK30=0),1,0)</f>
        <v/>
      </c>
      <c r="KL34">
        <f>IF(AND(KL$1="DATE",COUNT(KL4,KL5,KL9,KL10)&gt;0,KL30=0),1,0)</f>
        <v/>
      </c>
      <c r="KM34">
        <f>IF(AND(KM$1="DATE",COUNT(KM4,KM5,KM9,KM10)&gt;0,KM30=0),1,0)</f>
        <v/>
      </c>
      <c r="KN34">
        <f>IF(AND(KN$1="DATE",COUNT(KN4,KN5,KN9,KN10)&gt;0,KN30=0),1,0)</f>
        <v/>
      </c>
      <c r="KO34">
        <f>IF(AND(KO$1="DATE",COUNT(KO4,KO5,KO9,KO10)&gt;0,KO30=0),1,0)</f>
        <v/>
      </c>
      <c r="KP34">
        <f>IF(AND(KP$1="DATE",COUNT(KP4,KP5,KP9,KP10)&gt;0,KP30=0),1,0)</f>
        <v/>
      </c>
      <c r="KQ34">
        <f>IF(AND(KQ$1="DATE",COUNT(KQ4,KQ5,KQ9,KQ10)&gt;0,KQ30=0),1,0)</f>
        <v/>
      </c>
      <c r="KR34">
        <f>IF(AND(KR$1="DATE",COUNT(KR4,KR5,KR9,KR10)&gt;0,KR30=0),1,0)</f>
        <v/>
      </c>
      <c r="KS34">
        <f>IF(AND(KS$1="DATE",COUNT(KS4,KS5,KS9,KS10)&gt;0,KS30=0),1,0)</f>
        <v/>
      </c>
      <c r="KT34">
        <f>IF(AND(KT$1="DATE",COUNT(KT4,KT5,KT9,KT10)&gt;0,KT30=0),1,0)</f>
        <v/>
      </c>
      <c r="KU34">
        <f>IF(AND(KU$1="DATE",COUNT(KU4,KU5,KU9,KU10)&gt;0,KU30=0),1,0)</f>
        <v/>
      </c>
      <c r="KV34">
        <f>IF(AND(KV$1="DATE",COUNT(KV4,KV5,KV9,KV10)&gt;0,KV30=0),1,0)</f>
        <v/>
      </c>
      <c r="KW34">
        <f>IF(AND(KW$1="DATE",COUNT(KW4,KW5,KW9,KW10)&gt;0,KW30=0),1,0)</f>
        <v/>
      </c>
      <c r="KX34">
        <f>IF(AND(KX$1="DATE",COUNT(KX4,KX5,KX9,KX10)&gt;0,KX30=0),1,0)</f>
        <v/>
      </c>
      <c r="KY34">
        <f>IF(AND(KY$1="DATE",COUNT(KY4,KY5,KY9,KY10)&gt;0,KY30=0),1,0)</f>
        <v/>
      </c>
      <c r="KZ34">
        <f>IF(AND(KZ$1="DATE",COUNT(KZ4,KZ5,KZ9,KZ10)&gt;0,KZ30=0),1,0)</f>
        <v/>
      </c>
      <c r="LA34">
        <f>IF(AND(LA$1="DATE",COUNT(LA4,LA5,LA9,LA10)&gt;0,LA30=0),1,0)</f>
        <v/>
      </c>
      <c r="LB34">
        <f>IF(AND(LB$1="DATE",COUNT(LB4,LB5,LB9,LB10)&gt;0,LB30=0),1,0)</f>
        <v/>
      </c>
      <c r="LC34">
        <f>IF(AND(LC$1="DATE",COUNT(LC4,LC5,LC9,LC10)&gt;0,LC30=0),1,0)</f>
        <v/>
      </c>
      <c r="LD34">
        <f>IF(AND(LD$1="DATE",COUNT(LD4,LD5,LD9,LD10)&gt;0,LD30=0),1,0)</f>
        <v/>
      </c>
      <c r="LE34">
        <f>IF(AND(LE$1="DATE",COUNT(LE4,LE5,LE9,LE10)&gt;0,LE30=0),1,0)</f>
        <v/>
      </c>
      <c r="LF34">
        <f>IF(AND(LF$1="DATE",COUNT(LF4,LF5,LF9,LF10)&gt;0,LF30=0),1,0)</f>
        <v/>
      </c>
      <c r="LG34">
        <f>IF(AND(LG$1="DATE",COUNT(LG4,LG5,LG9,LG10)&gt;0,LG30=0),1,0)</f>
        <v/>
      </c>
      <c r="LH34">
        <f>IF(AND(LH$1="DATE",COUNT(LH4,LH5,LH9,LH10)&gt;0,LH30=0),1,0)</f>
        <v/>
      </c>
      <c r="LI34">
        <f>IF(AND(LI$1="DATE",COUNT(LI4,LI5,LI9,LI10)&gt;0,LI30=0),1,0)</f>
        <v/>
      </c>
      <c r="LJ34">
        <f>IF(AND(LJ$1="DATE",COUNT(LJ4,LJ5,LJ9,LJ10)&gt;0,LJ30=0),1,0)</f>
        <v/>
      </c>
      <c r="LK34">
        <f>IF(AND(LK$1="DATE",COUNT(LK4,LK5,LK9,LK10)&gt;0,LK30=0),1,0)</f>
        <v/>
      </c>
      <c r="LL34">
        <f>IF(AND(LL$1="DATE",COUNT(LL4,LL5,LL9,LL10)&gt;0,LL30=0),1,0)</f>
        <v/>
      </c>
      <c r="LM34">
        <f>IF(AND(LM$1="DATE",COUNT(LM4,LM5,LM9,LM10)&gt;0,LM30=0),1,0)</f>
        <v/>
      </c>
      <c r="LN34">
        <f>IF(AND(LN$1="DATE",COUNT(LN4,LN5,LN9,LN10)&gt;0,LN30=0),1,0)</f>
        <v/>
      </c>
      <c r="LO34">
        <f>IF(AND(LO$1="DATE",COUNT(LO4,LO5,LO9,LO10)&gt;0,LO30=0),1,0)</f>
        <v/>
      </c>
      <c r="LP34">
        <f>IF(AND(LP$1="DATE",COUNT(LP4,LP5,LP9,LP10)&gt;0,LP30=0),1,0)</f>
        <v/>
      </c>
      <c r="LQ34">
        <f>IF(AND(LQ$1="DATE",COUNT(LQ4,LQ5,LQ9,LQ10)&gt;0,LQ30=0),1,0)</f>
        <v/>
      </c>
      <c r="LR34">
        <f>IF(AND(LR$1="DATE",COUNT(LR4,LR5,LR9,LR10)&gt;0,LR30=0),1,0)</f>
        <v/>
      </c>
      <c r="LS34">
        <f>IF(AND(LS$1="DATE",COUNT(LS4,LS5,LS9,LS10)&gt;0,LS30=0),1,0)</f>
        <v/>
      </c>
      <c r="LT34">
        <f>IF(AND(LT$1="DATE",COUNT(LT4,LT5,LT9,LT10)&gt;0,LT30=0),1,0)</f>
        <v/>
      </c>
      <c r="LU34">
        <f>IF(AND(LU$1="DATE",COUNT(LU4,LU5,LU9,LU10)&gt;0,LU30=0),1,0)</f>
        <v/>
      </c>
      <c r="LV34">
        <f>IF(AND(LV$1="DATE",COUNT(LV4,LV5,LV9,LV10)&gt;0,LV30=0),1,0)</f>
        <v/>
      </c>
      <c r="LW34">
        <f>IF(AND(LW$1="DATE",COUNT(LW4,LW5,LW9,LW10)&gt;0,LW30=0),1,0)</f>
        <v/>
      </c>
      <c r="LX34">
        <f>IF(AND(LX$1="DATE",COUNT(LX4,LX5,LX9,LX10)&gt;0,LX30=0),1,0)</f>
        <v/>
      </c>
      <c r="LY34">
        <f>IF(AND(LY$1="DATE",COUNT(LY4,LY5,LY9,LY10)&gt;0,LY30=0),1,0)</f>
        <v/>
      </c>
      <c r="LZ34">
        <f>IF(AND(LZ$1="DATE",COUNT(LZ4,LZ5,LZ9,LZ10)&gt;0,LZ30=0),1,0)</f>
        <v/>
      </c>
      <c r="MA34">
        <f>IF(AND(MA$1="DATE",COUNT(MA4,MA5,MA9,MA10)&gt;0,MA30=0),1,0)</f>
        <v/>
      </c>
      <c r="MB34">
        <f>IF(AND(MB$1="DATE",COUNT(MB4,MB5,MB9,MB10)&gt;0,MB30=0),1,0)</f>
        <v/>
      </c>
      <c r="MC34">
        <f>IF(AND(MC$1="DATE",COUNT(MC4,MC5,MC9,MC10)&gt;0,MC30=0),1,0)</f>
        <v/>
      </c>
      <c r="MD34">
        <f>IF(AND(MD$1="DATE",COUNT(MD4,MD5,MD9,MD10)&gt;0,MD30=0),1,0)</f>
        <v/>
      </c>
      <c r="ME34">
        <f>IF(AND(ME$1="DATE",COUNT(ME4,ME5,ME9,ME10)&gt;0,ME30=0),1,0)</f>
        <v/>
      </c>
      <c r="MF34">
        <f>IF(AND(MF$1="DATE",COUNT(MF4,MF5,MF9,MF10)&gt;0,MF30=0),1,0)</f>
        <v/>
      </c>
      <c r="MG34">
        <f>IF(AND(MG$1="DATE",COUNT(MG4,MG5,MG9,MG10)&gt;0,MG30=0),1,0)</f>
        <v/>
      </c>
      <c r="MH34">
        <f>IF(AND(MH$1="DATE",COUNT(MH4,MH5,MH9,MH10)&gt;0,MH30=0),1,0)</f>
        <v/>
      </c>
      <c r="MI34">
        <f>IF(AND(MI$1="DATE",COUNT(MI4,MI5,MI9,MI10)&gt;0,MI30=0),1,0)</f>
        <v/>
      </c>
      <c r="MJ34">
        <f>IF(AND(MJ$1="DATE",COUNT(MJ4,MJ5,MJ9,MJ10)&gt;0,MJ30=0),1,0)</f>
        <v/>
      </c>
      <c r="MK34">
        <f>IF(AND(MK$1="DATE",COUNT(MK4,MK5,MK9,MK10)&gt;0,MK30=0),1,0)</f>
        <v/>
      </c>
      <c r="ML34">
        <f>IF(AND(ML$1="DATE",COUNT(ML4,ML5,ML9,ML10)&gt;0,ML30=0),1,0)</f>
        <v/>
      </c>
      <c r="MM34">
        <f>IF(AND(MM$1="DATE",COUNT(MM4,MM5,MM9,MM10)&gt;0,MM30=0),1,0)</f>
        <v/>
      </c>
      <c r="MN34">
        <f>IF(AND(MN$1="DATE",COUNT(MN4,MN5,MN9,MN10)&gt;0,MN30=0),1,0)</f>
        <v/>
      </c>
      <c r="MO34">
        <f>IF(AND(MO$1="DATE",COUNT(MO4,MO5,MO9,MO10)&gt;0,MO30=0),1,0)</f>
        <v/>
      </c>
      <c r="MP34">
        <f>IF(AND(MP$1="DATE",COUNT(MP4,MP5,MP9,MP10)&gt;0,MP30=0),1,0)</f>
        <v/>
      </c>
      <c r="MQ34">
        <f>IF(AND(MQ$1="DATE",COUNT(MQ4,MQ5,MQ9,MQ10)&gt;0,MQ30=0),1,0)</f>
        <v/>
      </c>
      <c r="MR34">
        <f>IF(AND(MR$1="DATE",COUNT(MR4,MR5,MR9,MR10)&gt;0,MR30=0),1,0)</f>
        <v/>
      </c>
      <c r="MS34">
        <f>IF(AND(MS$1="DATE",COUNT(MS4,MS5,MS9,MS10)&gt;0,MS30=0),1,0)</f>
        <v/>
      </c>
      <c r="MT34">
        <f>IF(AND(MT$1="DATE",COUNT(MT4,MT5,MT9,MT10)&gt;0,MT30=0),1,0)</f>
        <v/>
      </c>
      <c r="MU34">
        <f>IF(AND(MU$1="DATE",COUNT(MU4,MU5,MU9,MU10)&gt;0,MU30=0),1,0)</f>
        <v/>
      </c>
      <c r="MV34">
        <f>IF(AND(MV$1="DATE",COUNT(MV4,MV5,MV9,MV10)&gt;0,MV30=0),1,0)</f>
        <v/>
      </c>
      <c r="MW34">
        <f>IF(AND(MW$1="DATE",COUNT(MW4,MW5,MW9,MW10)&gt;0,MW30=0),1,0)</f>
        <v/>
      </c>
      <c r="MX34">
        <f>IF(AND(MX$1="DATE",COUNT(MX4,MX5,MX9,MX10)&gt;0,MX30=0),1,0)</f>
        <v/>
      </c>
      <c r="MY34">
        <f>IF(AND(MY$1="DATE",COUNT(MY4,MY5,MY9,MY10)&gt;0,MY30=0),1,0)</f>
        <v/>
      </c>
      <c r="MZ34">
        <f>IF(AND(MZ$1="DATE",COUNT(MZ4,MZ5,MZ9,MZ10)&gt;0,MZ30=0),1,0)</f>
        <v/>
      </c>
      <c r="NA34">
        <f>IF(AND(NA$1="DATE",COUNT(NA4,NA5,NA9,NA10)&gt;0,NA30=0),1,0)</f>
        <v/>
      </c>
      <c r="NB34">
        <f>IF(AND(NB$1="DATE",COUNT(NB4,NB5,NB9,NB10)&gt;0,NB30=0),1,0)</f>
        <v/>
      </c>
      <c r="NC34">
        <f>IF(AND(NC$1="DATE",COUNT(NC4,NC5,NC9,NC10)&gt;0,NC30=0),1,0)</f>
        <v/>
      </c>
      <c r="ND34">
        <f>IF(AND(ND$1="DATE",COUNT(ND4,ND5,ND9,ND10)&gt;0,ND30=0),1,0)</f>
        <v/>
      </c>
      <c r="NE34">
        <f>IF(AND(NE$1="DATE",COUNT(NE4,NE5,NE9,NE10)&gt;0,NE30=0),1,0)</f>
        <v/>
      </c>
      <c r="NF34">
        <f>IF(AND(NF$1="DATE",COUNT(NF4,NF5,NF9,NF10)&gt;0,NF30=0),1,0)</f>
        <v/>
      </c>
      <c r="NG34">
        <f>IF(AND(NG$1="DATE",COUNT(NG4,NG5,NG9,NG10)&gt;0,NG30=0),1,0)</f>
        <v/>
      </c>
      <c r="NH34">
        <f>IF(AND(NH$1="DATE",COUNT(NH4,NH5,NH9,NH10)&gt;0,NH30=0),1,0)</f>
        <v/>
      </c>
      <c r="NI34">
        <f>IF(AND(NI$1="DATE",COUNT(NI4,NI5,NI9,NI10)&gt;0,NI30=0),1,0)</f>
        <v/>
      </c>
      <c r="NJ34">
        <f>IF(AND(NJ$1="DATE",COUNT(NJ4,NJ5,NJ9,NJ10)&gt;0,NJ30=0),1,0)</f>
        <v/>
      </c>
      <c r="NK34">
        <f>IF(AND(NK$1="DATE",COUNT(NK4,NK5,NK9,NK10)&gt;0,NK30=0),1,0)</f>
        <v/>
      </c>
      <c r="NL34">
        <f>IF(AND(NL$1="DATE",COUNT(NL4,NL5,NL9,NL10)&gt;0,NL30=0),1,0)</f>
        <v/>
      </c>
      <c r="NM34">
        <f>IF(AND(NM$1="DATE",COUNT(NM4,NM5,NM9,NM10)&gt;0,NM30=0),1,0)</f>
        <v/>
      </c>
      <c r="NN34">
        <f>IF(AND(NN$1="DATE",COUNT(NN4,NN5,NN9,NN10)&gt;0,NN30=0),1,0)</f>
        <v/>
      </c>
      <c r="NO34">
        <f>IF(AND(NO$1="DATE",COUNT(NO4,NO5,NO9,NO10)&gt;0,NO30=0),1,0)</f>
        <v/>
      </c>
      <c r="NP34">
        <f>IF(AND(NP$1="DATE",COUNT(NP4,NP5,NP9,NP10)&gt;0,NP30=0),1,0)</f>
        <v/>
      </c>
      <c r="NQ34">
        <f>IF(AND(NQ$1="DATE",COUNT(NQ4,NQ5,NQ9,NQ10)&gt;0,NQ30=0),1,0)</f>
        <v/>
      </c>
      <c r="NR34">
        <f>IF(AND(NR$1="DATE",COUNT(NR4,NR5,NR9,NR10)&gt;0,NR30=0),1,0)</f>
        <v/>
      </c>
      <c r="NS34">
        <f>IF(AND(NS$1="DATE",COUNT(NS4,NS5,NS9,NS10)&gt;0,NS30=0),1,0)</f>
        <v/>
      </c>
      <c r="NT34">
        <f>IF(AND(NT$1="DATE",COUNT(NT4,NT5,NT9,NT10)&gt;0,NT30=0),1,0)</f>
        <v/>
      </c>
      <c r="NU34">
        <f>IF(AND(NU$1="DATE",COUNT(NU4,NU5,NU9,NU10)&gt;0,NU30=0),1,0)</f>
        <v/>
      </c>
      <c r="NV34">
        <f>IF(AND(NV$1="DATE",COUNT(NV4,NV5,NV9,NV10)&gt;0,NV30=0),1,0)</f>
        <v/>
      </c>
      <c r="NW34">
        <f>IF(AND(NW$1="DATE",COUNT(NW4,NW5,NW9,NW10)&gt;0,NW30=0),1,0)</f>
        <v/>
      </c>
      <c r="NX34">
        <f>IF(AND(NX$1="DATE",COUNT(NX4,NX5,NX9,NX10)&gt;0,NX30=0),1,0)</f>
        <v/>
      </c>
      <c r="NY34">
        <f>IF(AND(NY$1="DATE",COUNT(NY4,NY5,NY9,NY10)&gt;0,NY30=0),1,0)</f>
        <v/>
      </c>
      <c r="NZ34">
        <f>IF(AND(NZ$1="DATE",COUNT(NZ4,NZ5,NZ9,NZ10)&gt;0,NZ30=0),1,0)</f>
        <v/>
      </c>
      <c r="OA34">
        <f>IF(AND(OA$1="DATE",COUNT(OA4,OA5,OA9,OA10)&gt;0,OA30=0),1,0)</f>
        <v/>
      </c>
      <c r="OB34">
        <f>IF(AND(OB$1="DATE",COUNT(OB4,OB5,OB9,OB10)&gt;0,OB30=0),1,0)</f>
        <v/>
      </c>
      <c r="OC34">
        <f>IF(AND(OC$1="DATE",COUNT(OC4,OC5,OC9,OC10)&gt;0,OC30=0),1,0)</f>
        <v/>
      </c>
      <c r="OD34">
        <f>IF(AND(OD$1="DATE",COUNT(OD4,OD5,OD9,OD10)&gt;0,OD30=0),1,0)</f>
        <v/>
      </c>
      <c r="OE34">
        <f>IF(AND(OE$1="DATE",COUNT(OE4,OE5,OE9,OE10)&gt;0,OE30=0),1,0)</f>
        <v/>
      </c>
      <c r="OF34">
        <f>IF(AND(OF$1="DATE",COUNT(OF4,OF5,OF9,OF10)&gt;0,OF30=0),1,0)</f>
        <v/>
      </c>
      <c r="OG34">
        <f>IF(AND(OG$1="DATE",COUNT(OG4,OG5,OG9,OG10)&gt;0,OG30=0),1,0)</f>
        <v/>
      </c>
      <c r="OH34">
        <f>IF(AND(OH$1="DATE",COUNT(OH4,OH5,OH9,OH10)&gt;0,OH30=0),1,0)</f>
        <v/>
      </c>
      <c r="OI34">
        <f>IF(AND(OI$1="DATE",COUNT(OI4,OI5,OI9,OI10)&gt;0,OI30=0),1,0)</f>
        <v/>
      </c>
      <c r="OJ34">
        <f>IF(AND(OJ$1="DATE",COUNT(OJ4,OJ5,OJ9,OJ10)&gt;0,OJ30=0),1,0)</f>
        <v/>
      </c>
    </row>
    <row r="35" hidden="1">
      <c r="A35">
        <f>IF(AND(A$1="DATE",ISNUMBER(B$1),COUNTIF($A$1:$OJ$1,B$1)&gt;1),1,0)</f>
        <v/>
      </c>
      <c r="B35">
        <f>IF(AND(B$1="DATE",ISNUMBER(C$1),COUNTIF($A$1:$OJ$1,C$1)&gt;1),1,0)</f>
        <v/>
      </c>
      <c r="C35">
        <f>IF(AND(C$1="DATE",ISNUMBER(D$1),COUNTIF($A$1:$OJ$1,D$1)&gt;1),1,0)</f>
        <v/>
      </c>
      <c r="D35">
        <f>IF(AND(D$1="DATE",ISNUMBER(E$1),COUNTIF($A$1:$OJ$1,E$1)&gt;1),1,0)</f>
        <v/>
      </c>
      <c r="E35">
        <f>IF(AND(E$1="DATE",ISNUMBER(F$1),COUNTIF($A$1:$OJ$1,F$1)&gt;1),1,0)</f>
        <v/>
      </c>
      <c r="F35">
        <f>IF(AND(F$1="DATE",ISNUMBER(G$1),COUNTIF($A$1:$OJ$1,G$1)&gt;1),1,0)</f>
        <v/>
      </c>
      <c r="G35">
        <f>IF(AND(G$1="DATE",ISNUMBER(H$1),COUNTIF($A$1:$OJ$1,H$1)&gt;1),1,0)</f>
        <v/>
      </c>
      <c r="H35">
        <f>IF(AND(H$1="DATE",ISNUMBER(I$1),COUNTIF($A$1:$OJ$1,I$1)&gt;1),1,0)</f>
        <v/>
      </c>
      <c r="I35">
        <f>IF(AND(I$1="DATE",ISNUMBER(J$1),COUNTIF($A$1:$OJ$1,J$1)&gt;1),1,0)</f>
        <v/>
      </c>
      <c r="J35">
        <f>IF(AND(J$1="DATE",ISNUMBER(K$1),COUNTIF($A$1:$OJ$1,K$1)&gt;1),1,0)</f>
        <v/>
      </c>
      <c r="K35">
        <f>IF(AND(K$1="DATE",ISNUMBER(L$1),COUNTIF($A$1:$OJ$1,L$1)&gt;1),1,0)</f>
        <v/>
      </c>
      <c r="L35">
        <f>IF(AND(L$1="DATE",ISNUMBER(M$1),COUNTIF($A$1:$OJ$1,M$1)&gt;1),1,0)</f>
        <v/>
      </c>
      <c r="M35">
        <f>IF(AND(M$1="DATE",ISNUMBER(N$1),COUNTIF($A$1:$OJ$1,N$1)&gt;1),1,0)</f>
        <v/>
      </c>
      <c r="N35">
        <f>IF(AND(N$1="DATE",ISNUMBER(O$1),COUNTIF($A$1:$OJ$1,O$1)&gt;1),1,0)</f>
        <v/>
      </c>
      <c r="O35">
        <f>IF(AND(O$1="DATE",ISNUMBER(P$1),COUNTIF($A$1:$OJ$1,P$1)&gt;1),1,0)</f>
        <v/>
      </c>
      <c r="P35">
        <f>IF(AND(P$1="DATE",ISNUMBER(Q$1),COUNTIF($A$1:$OJ$1,Q$1)&gt;1),1,0)</f>
        <v/>
      </c>
      <c r="Q35">
        <f>IF(AND(Q$1="DATE",ISNUMBER(R$1),COUNTIF($A$1:$OJ$1,R$1)&gt;1),1,0)</f>
        <v/>
      </c>
      <c r="R35">
        <f>IF(AND(R$1="DATE",ISNUMBER(S$1),COUNTIF($A$1:$OJ$1,S$1)&gt;1),1,0)</f>
        <v/>
      </c>
      <c r="S35">
        <f>IF(AND(S$1="DATE",ISNUMBER(T$1),COUNTIF($A$1:$OJ$1,T$1)&gt;1),1,0)</f>
        <v/>
      </c>
      <c r="T35">
        <f>IF(AND(T$1="DATE",ISNUMBER(U$1),COUNTIF($A$1:$OJ$1,U$1)&gt;1),1,0)</f>
        <v/>
      </c>
      <c r="U35">
        <f>IF(AND(U$1="DATE",ISNUMBER(V$1),COUNTIF($A$1:$OJ$1,V$1)&gt;1),1,0)</f>
        <v/>
      </c>
      <c r="V35">
        <f>IF(AND(V$1="DATE",ISNUMBER(W$1),COUNTIF($A$1:$OJ$1,W$1)&gt;1),1,0)</f>
        <v/>
      </c>
      <c r="W35">
        <f>IF(AND(W$1="DATE",ISNUMBER(X$1),COUNTIF($A$1:$OJ$1,X$1)&gt;1),1,0)</f>
        <v/>
      </c>
      <c r="X35">
        <f>IF(AND(X$1="DATE",ISNUMBER(Y$1),COUNTIF($A$1:$OJ$1,Y$1)&gt;1),1,0)</f>
        <v/>
      </c>
      <c r="Y35">
        <f>IF(AND(Y$1="DATE",ISNUMBER(Z$1),COUNTIF($A$1:$OJ$1,Z$1)&gt;1),1,0)</f>
        <v/>
      </c>
      <c r="Z35">
        <f>IF(AND(Z$1="DATE",ISNUMBER(AA$1),COUNTIF($A$1:$OJ$1,AA$1)&gt;1),1,0)</f>
        <v/>
      </c>
      <c r="AA35">
        <f>IF(AND(AA$1="DATE",ISNUMBER(AB$1),COUNTIF($A$1:$OJ$1,AB$1)&gt;1),1,0)</f>
        <v/>
      </c>
      <c r="AB35">
        <f>IF(AND(AB$1="DATE",ISNUMBER(AC$1),COUNTIF($A$1:$OJ$1,AC$1)&gt;1),1,0)</f>
        <v/>
      </c>
      <c r="AC35">
        <f>IF(AND(AC$1="DATE",ISNUMBER(AD$1),COUNTIF($A$1:$OJ$1,AD$1)&gt;1),1,0)</f>
        <v/>
      </c>
      <c r="AD35">
        <f>IF(AND(AD$1="DATE",ISNUMBER(AE$1),COUNTIF($A$1:$OJ$1,AE$1)&gt;1),1,0)</f>
        <v/>
      </c>
      <c r="AE35">
        <f>IF(AND(AE$1="DATE",ISNUMBER(AF$1),COUNTIF($A$1:$OJ$1,AF$1)&gt;1),1,0)</f>
        <v/>
      </c>
      <c r="AF35">
        <f>IF(AND(AF$1="DATE",ISNUMBER(AG$1),COUNTIF($A$1:$OJ$1,AG$1)&gt;1),1,0)</f>
        <v/>
      </c>
      <c r="AG35">
        <f>IF(AND(AG$1="DATE",ISNUMBER(AH$1),COUNTIF($A$1:$OJ$1,AH$1)&gt;1),1,0)</f>
        <v/>
      </c>
      <c r="AH35">
        <f>IF(AND(AH$1="DATE",ISNUMBER(AI$1),COUNTIF($A$1:$OJ$1,AI$1)&gt;1),1,0)</f>
        <v/>
      </c>
      <c r="AI35">
        <f>IF(AND(AI$1="DATE",ISNUMBER(AJ$1),COUNTIF($A$1:$OJ$1,AJ$1)&gt;1),1,0)</f>
        <v/>
      </c>
      <c r="AJ35">
        <f>IF(AND(AJ$1="DATE",ISNUMBER(AK$1),COUNTIF($A$1:$OJ$1,AK$1)&gt;1),1,0)</f>
        <v/>
      </c>
      <c r="AK35">
        <f>IF(AND(AK$1="DATE",ISNUMBER(AL$1),COUNTIF($A$1:$OJ$1,AL$1)&gt;1),1,0)</f>
        <v/>
      </c>
      <c r="AL35">
        <f>IF(AND(AL$1="DATE",ISNUMBER(AM$1),COUNTIF($A$1:$OJ$1,AM$1)&gt;1),1,0)</f>
        <v/>
      </c>
      <c r="AM35">
        <f>IF(AND(AM$1="DATE",ISNUMBER(AN$1),COUNTIF($A$1:$OJ$1,AN$1)&gt;1),1,0)</f>
        <v/>
      </c>
      <c r="AN35">
        <f>IF(AND(AN$1="DATE",ISNUMBER(AO$1),COUNTIF($A$1:$OJ$1,AO$1)&gt;1),1,0)</f>
        <v/>
      </c>
      <c r="AO35">
        <f>IF(AND(AO$1="DATE",ISNUMBER(AP$1),COUNTIF($A$1:$OJ$1,AP$1)&gt;1),1,0)</f>
        <v/>
      </c>
      <c r="AP35">
        <f>IF(AND(AP$1="DATE",ISNUMBER(AQ$1),COUNTIF($A$1:$OJ$1,AQ$1)&gt;1),1,0)</f>
        <v/>
      </c>
      <c r="AQ35">
        <f>IF(AND(AQ$1="DATE",ISNUMBER(AR$1),COUNTIF($A$1:$OJ$1,AR$1)&gt;1),1,0)</f>
        <v/>
      </c>
      <c r="AR35">
        <f>IF(AND(AR$1="DATE",ISNUMBER(AS$1),COUNTIF($A$1:$OJ$1,AS$1)&gt;1),1,0)</f>
        <v/>
      </c>
      <c r="AS35">
        <f>IF(AND(AS$1="DATE",ISNUMBER(AT$1),COUNTIF($A$1:$OJ$1,AT$1)&gt;1),1,0)</f>
        <v/>
      </c>
      <c r="AT35">
        <f>IF(AND(AT$1="DATE",ISNUMBER(AU$1),COUNTIF($A$1:$OJ$1,AU$1)&gt;1),1,0)</f>
        <v/>
      </c>
      <c r="AU35">
        <f>IF(AND(AU$1="DATE",ISNUMBER(AV$1),COUNTIF($A$1:$OJ$1,AV$1)&gt;1),1,0)</f>
        <v/>
      </c>
      <c r="AV35">
        <f>IF(AND(AV$1="DATE",ISNUMBER(AW$1),COUNTIF($A$1:$OJ$1,AW$1)&gt;1),1,0)</f>
        <v/>
      </c>
      <c r="AW35">
        <f>IF(AND(AW$1="DATE",ISNUMBER(AX$1),COUNTIF($A$1:$OJ$1,AX$1)&gt;1),1,0)</f>
        <v/>
      </c>
      <c r="AX35">
        <f>IF(AND(AX$1="DATE",ISNUMBER(AY$1),COUNTIF($A$1:$OJ$1,AY$1)&gt;1),1,0)</f>
        <v/>
      </c>
      <c r="AY35">
        <f>IF(AND(AY$1="DATE",ISNUMBER(AZ$1),COUNTIF($A$1:$OJ$1,AZ$1)&gt;1),1,0)</f>
        <v/>
      </c>
      <c r="AZ35">
        <f>IF(AND(AZ$1="DATE",ISNUMBER(BA$1),COUNTIF($A$1:$OJ$1,BA$1)&gt;1),1,0)</f>
        <v/>
      </c>
      <c r="BA35">
        <f>IF(AND(BA$1="DATE",ISNUMBER(BB$1),COUNTIF($A$1:$OJ$1,BB$1)&gt;1),1,0)</f>
        <v/>
      </c>
      <c r="BB35">
        <f>IF(AND(BB$1="DATE",ISNUMBER(BC$1),COUNTIF($A$1:$OJ$1,BC$1)&gt;1),1,0)</f>
        <v/>
      </c>
      <c r="BC35">
        <f>IF(AND(BC$1="DATE",ISNUMBER(BD$1),COUNTIF($A$1:$OJ$1,BD$1)&gt;1),1,0)</f>
        <v/>
      </c>
      <c r="BD35">
        <f>IF(AND(BD$1="DATE",ISNUMBER(BE$1),COUNTIF($A$1:$OJ$1,BE$1)&gt;1),1,0)</f>
        <v/>
      </c>
      <c r="BE35">
        <f>IF(AND(BE$1="DATE",ISNUMBER(BF$1),COUNTIF($A$1:$OJ$1,BF$1)&gt;1),1,0)</f>
        <v/>
      </c>
      <c r="BF35">
        <f>IF(AND(BF$1="DATE",ISNUMBER(BG$1),COUNTIF($A$1:$OJ$1,BG$1)&gt;1),1,0)</f>
        <v/>
      </c>
      <c r="BG35">
        <f>IF(AND(BG$1="DATE",ISNUMBER(BH$1),COUNTIF($A$1:$OJ$1,BH$1)&gt;1),1,0)</f>
        <v/>
      </c>
      <c r="BH35">
        <f>IF(AND(BH$1="DATE",ISNUMBER(BI$1),COUNTIF($A$1:$OJ$1,BI$1)&gt;1),1,0)</f>
        <v/>
      </c>
      <c r="BI35">
        <f>IF(AND(BI$1="DATE",ISNUMBER(BJ$1),COUNTIF($A$1:$OJ$1,BJ$1)&gt;1),1,0)</f>
        <v/>
      </c>
      <c r="BJ35">
        <f>IF(AND(BJ$1="DATE",ISNUMBER(BK$1),COUNTIF($A$1:$OJ$1,BK$1)&gt;1),1,0)</f>
        <v/>
      </c>
      <c r="BK35">
        <f>IF(AND(BK$1="DATE",ISNUMBER(BL$1),COUNTIF($A$1:$OJ$1,BL$1)&gt;1),1,0)</f>
        <v/>
      </c>
      <c r="BL35">
        <f>IF(AND(BL$1="DATE",ISNUMBER(BM$1),COUNTIF($A$1:$OJ$1,BM$1)&gt;1),1,0)</f>
        <v/>
      </c>
      <c r="BM35">
        <f>IF(AND(BM$1="DATE",ISNUMBER(BN$1),COUNTIF($A$1:$OJ$1,BN$1)&gt;1),1,0)</f>
        <v/>
      </c>
      <c r="BN35">
        <f>IF(AND(BN$1="DATE",ISNUMBER(BO$1),COUNTIF($A$1:$OJ$1,BO$1)&gt;1),1,0)</f>
        <v/>
      </c>
      <c r="BO35">
        <f>IF(AND(BO$1="DATE",ISNUMBER(BP$1),COUNTIF($A$1:$OJ$1,BP$1)&gt;1),1,0)</f>
        <v/>
      </c>
      <c r="BP35">
        <f>IF(AND(BP$1="DATE",ISNUMBER(BQ$1),COUNTIF($A$1:$OJ$1,BQ$1)&gt;1),1,0)</f>
        <v/>
      </c>
      <c r="BQ35">
        <f>IF(AND(BQ$1="DATE",ISNUMBER(BR$1),COUNTIF($A$1:$OJ$1,BR$1)&gt;1),1,0)</f>
        <v/>
      </c>
      <c r="BR35">
        <f>IF(AND(BR$1="DATE",ISNUMBER(BS$1),COUNTIF($A$1:$OJ$1,BS$1)&gt;1),1,0)</f>
        <v/>
      </c>
      <c r="BS35">
        <f>IF(AND(BS$1="DATE",ISNUMBER(BT$1),COUNTIF($A$1:$OJ$1,BT$1)&gt;1),1,0)</f>
        <v/>
      </c>
      <c r="BT35">
        <f>IF(AND(BT$1="DATE",ISNUMBER(BU$1),COUNTIF($A$1:$OJ$1,BU$1)&gt;1),1,0)</f>
        <v/>
      </c>
      <c r="BU35">
        <f>IF(AND(BU$1="DATE",ISNUMBER(BV$1),COUNTIF($A$1:$OJ$1,BV$1)&gt;1),1,0)</f>
        <v/>
      </c>
      <c r="BV35">
        <f>IF(AND(BV$1="DATE",ISNUMBER(BW$1),COUNTIF($A$1:$OJ$1,BW$1)&gt;1),1,0)</f>
        <v/>
      </c>
      <c r="BW35">
        <f>IF(AND(BW$1="DATE",ISNUMBER(BX$1),COUNTIF($A$1:$OJ$1,BX$1)&gt;1),1,0)</f>
        <v/>
      </c>
      <c r="BX35">
        <f>IF(AND(BX$1="DATE",ISNUMBER(BY$1),COUNTIF($A$1:$OJ$1,BY$1)&gt;1),1,0)</f>
        <v/>
      </c>
      <c r="BY35">
        <f>IF(AND(BY$1="DATE",ISNUMBER(BZ$1),COUNTIF($A$1:$OJ$1,BZ$1)&gt;1),1,0)</f>
        <v/>
      </c>
      <c r="BZ35">
        <f>IF(AND(BZ$1="DATE",ISNUMBER(CA$1),COUNTIF($A$1:$OJ$1,CA$1)&gt;1),1,0)</f>
        <v/>
      </c>
      <c r="CA35">
        <f>IF(AND(CA$1="DATE",ISNUMBER(CB$1),COUNTIF($A$1:$OJ$1,CB$1)&gt;1),1,0)</f>
        <v/>
      </c>
      <c r="CB35">
        <f>IF(AND(CB$1="DATE",ISNUMBER(CC$1),COUNTIF($A$1:$OJ$1,CC$1)&gt;1),1,0)</f>
        <v/>
      </c>
      <c r="CC35">
        <f>IF(AND(CC$1="DATE",ISNUMBER(CD$1),COUNTIF($A$1:$OJ$1,CD$1)&gt;1),1,0)</f>
        <v/>
      </c>
      <c r="CD35">
        <f>IF(AND(CD$1="DATE",ISNUMBER(CE$1),COUNTIF($A$1:$OJ$1,CE$1)&gt;1),1,0)</f>
        <v/>
      </c>
      <c r="CE35">
        <f>IF(AND(CE$1="DATE",ISNUMBER(CF$1),COUNTIF($A$1:$OJ$1,CF$1)&gt;1),1,0)</f>
        <v/>
      </c>
      <c r="CF35">
        <f>IF(AND(CF$1="DATE",ISNUMBER(CG$1),COUNTIF($A$1:$OJ$1,CG$1)&gt;1),1,0)</f>
        <v/>
      </c>
      <c r="CG35">
        <f>IF(AND(CG$1="DATE",ISNUMBER(CH$1),COUNTIF($A$1:$OJ$1,CH$1)&gt;1),1,0)</f>
        <v/>
      </c>
      <c r="CH35">
        <f>IF(AND(CH$1="DATE",ISNUMBER(CI$1),COUNTIF($A$1:$OJ$1,CI$1)&gt;1),1,0)</f>
        <v/>
      </c>
      <c r="CI35">
        <f>IF(AND(CI$1="DATE",ISNUMBER(CJ$1),COUNTIF($A$1:$OJ$1,CJ$1)&gt;1),1,0)</f>
        <v/>
      </c>
      <c r="CJ35">
        <f>IF(AND(CJ$1="DATE",ISNUMBER(CK$1),COUNTIF($A$1:$OJ$1,CK$1)&gt;1),1,0)</f>
        <v/>
      </c>
      <c r="CK35">
        <f>IF(AND(CK$1="DATE",ISNUMBER(CL$1),COUNTIF($A$1:$OJ$1,CL$1)&gt;1),1,0)</f>
        <v/>
      </c>
      <c r="CL35">
        <f>IF(AND(CL$1="DATE",ISNUMBER(CM$1),COUNTIF($A$1:$OJ$1,CM$1)&gt;1),1,0)</f>
        <v/>
      </c>
      <c r="CM35">
        <f>IF(AND(CM$1="DATE",ISNUMBER(CN$1),COUNTIF($A$1:$OJ$1,CN$1)&gt;1),1,0)</f>
        <v/>
      </c>
      <c r="CN35">
        <f>IF(AND(CN$1="DATE",ISNUMBER(CO$1),COUNTIF($A$1:$OJ$1,CO$1)&gt;1),1,0)</f>
        <v/>
      </c>
      <c r="CO35">
        <f>IF(AND(CO$1="DATE",ISNUMBER(CP$1),COUNTIF($A$1:$OJ$1,CP$1)&gt;1),1,0)</f>
        <v/>
      </c>
      <c r="CP35">
        <f>IF(AND(CP$1="DATE",ISNUMBER(CQ$1),COUNTIF($A$1:$OJ$1,CQ$1)&gt;1),1,0)</f>
        <v/>
      </c>
      <c r="CQ35">
        <f>IF(AND(CQ$1="DATE",ISNUMBER(CR$1),COUNTIF($A$1:$OJ$1,CR$1)&gt;1),1,0)</f>
        <v/>
      </c>
      <c r="CR35">
        <f>IF(AND(CR$1="DATE",ISNUMBER(CS$1),COUNTIF($A$1:$OJ$1,CS$1)&gt;1),1,0)</f>
        <v/>
      </c>
      <c r="CS35">
        <f>IF(AND(CS$1="DATE",ISNUMBER(CT$1),COUNTIF($A$1:$OJ$1,CT$1)&gt;1),1,0)</f>
        <v/>
      </c>
      <c r="CT35">
        <f>IF(AND(CT$1="DATE",ISNUMBER(CU$1),COUNTIF($A$1:$OJ$1,CU$1)&gt;1),1,0)</f>
        <v/>
      </c>
      <c r="CU35">
        <f>IF(AND(CU$1="DATE",ISNUMBER(CV$1),COUNTIF($A$1:$OJ$1,CV$1)&gt;1),1,0)</f>
        <v/>
      </c>
      <c r="CV35">
        <f>IF(AND(CV$1="DATE",ISNUMBER(CW$1),COUNTIF($A$1:$OJ$1,CW$1)&gt;1),1,0)</f>
        <v/>
      </c>
      <c r="CW35">
        <f>IF(AND(CW$1="DATE",ISNUMBER(CX$1),COUNTIF($A$1:$OJ$1,CX$1)&gt;1),1,0)</f>
        <v/>
      </c>
      <c r="CX35">
        <f>IF(AND(CX$1="DATE",ISNUMBER(CY$1),COUNTIF($A$1:$OJ$1,CY$1)&gt;1),1,0)</f>
        <v/>
      </c>
      <c r="CY35">
        <f>IF(AND(CY$1="DATE",ISNUMBER(CZ$1),COUNTIF($A$1:$OJ$1,CZ$1)&gt;1),1,0)</f>
        <v/>
      </c>
      <c r="CZ35">
        <f>IF(AND(CZ$1="DATE",ISNUMBER(DA$1),COUNTIF($A$1:$OJ$1,DA$1)&gt;1),1,0)</f>
        <v/>
      </c>
      <c r="DA35">
        <f>IF(AND(DA$1="DATE",ISNUMBER(DB$1),COUNTIF($A$1:$OJ$1,DB$1)&gt;1),1,0)</f>
        <v/>
      </c>
      <c r="DB35">
        <f>IF(AND(DB$1="DATE",ISNUMBER(DC$1),COUNTIF($A$1:$OJ$1,DC$1)&gt;1),1,0)</f>
        <v/>
      </c>
      <c r="DC35">
        <f>IF(AND(DC$1="DATE",ISNUMBER(DD$1),COUNTIF($A$1:$OJ$1,DD$1)&gt;1),1,0)</f>
        <v/>
      </c>
      <c r="DD35">
        <f>IF(AND(DD$1="DATE",ISNUMBER(DE$1),COUNTIF($A$1:$OJ$1,DE$1)&gt;1),1,0)</f>
        <v/>
      </c>
      <c r="DE35">
        <f>IF(AND(DE$1="DATE",ISNUMBER(DF$1),COUNTIF($A$1:$OJ$1,DF$1)&gt;1),1,0)</f>
        <v/>
      </c>
      <c r="DF35">
        <f>IF(AND(DF$1="DATE",ISNUMBER(DG$1),COUNTIF($A$1:$OJ$1,DG$1)&gt;1),1,0)</f>
        <v/>
      </c>
      <c r="DG35">
        <f>IF(AND(DG$1="DATE",ISNUMBER(DH$1),COUNTIF($A$1:$OJ$1,DH$1)&gt;1),1,0)</f>
        <v/>
      </c>
      <c r="DH35">
        <f>IF(AND(DH$1="DATE",ISNUMBER(DI$1),COUNTIF($A$1:$OJ$1,DI$1)&gt;1),1,0)</f>
        <v/>
      </c>
      <c r="DI35">
        <f>IF(AND(DI$1="DATE",ISNUMBER(DJ$1),COUNTIF($A$1:$OJ$1,DJ$1)&gt;1),1,0)</f>
        <v/>
      </c>
      <c r="DJ35">
        <f>IF(AND(DJ$1="DATE",ISNUMBER(DK$1),COUNTIF($A$1:$OJ$1,DK$1)&gt;1),1,0)</f>
        <v/>
      </c>
      <c r="DK35">
        <f>IF(AND(DK$1="DATE",ISNUMBER(DL$1),COUNTIF($A$1:$OJ$1,DL$1)&gt;1),1,0)</f>
        <v/>
      </c>
      <c r="DL35">
        <f>IF(AND(DL$1="DATE",ISNUMBER(DM$1),COUNTIF($A$1:$OJ$1,DM$1)&gt;1),1,0)</f>
        <v/>
      </c>
      <c r="DM35">
        <f>IF(AND(DM$1="DATE",ISNUMBER(DN$1),COUNTIF($A$1:$OJ$1,DN$1)&gt;1),1,0)</f>
        <v/>
      </c>
      <c r="DN35">
        <f>IF(AND(DN$1="DATE",ISNUMBER(DO$1),COUNTIF($A$1:$OJ$1,DO$1)&gt;1),1,0)</f>
        <v/>
      </c>
      <c r="DO35">
        <f>IF(AND(DO$1="DATE",ISNUMBER(DP$1),COUNTIF($A$1:$OJ$1,DP$1)&gt;1),1,0)</f>
        <v/>
      </c>
      <c r="DP35">
        <f>IF(AND(DP$1="DATE",ISNUMBER(DQ$1),COUNTIF($A$1:$OJ$1,DQ$1)&gt;1),1,0)</f>
        <v/>
      </c>
      <c r="DQ35">
        <f>IF(AND(DQ$1="DATE",ISNUMBER(DR$1),COUNTIF($A$1:$OJ$1,DR$1)&gt;1),1,0)</f>
        <v/>
      </c>
      <c r="DR35">
        <f>IF(AND(DR$1="DATE",ISNUMBER(DS$1),COUNTIF($A$1:$OJ$1,DS$1)&gt;1),1,0)</f>
        <v/>
      </c>
      <c r="DS35">
        <f>IF(AND(DS$1="DATE",ISNUMBER(DT$1),COUNTIF($A$1:$OJ$1,DT$1)&gt;1),1,0)</f>
        <v/>
      </c>
      <c r="DT35">
        <f>IF(AND(DT$1="DATE",ISNUMBER(DU$1),COUNTIF($A$1:$OJ$1,DU$1)&gt;1),1,0)</f>
        <v/>
      </c>
      <c r="DU35">
        <f>IF(AND(DU$1="DATE",ISNUMBER(DV$1),COUNTIF($A$1:$OJ$1,DV$1)&gt;1),1,0)</f>
        <v/>
      </c>
      <c r="DV35">
        <f>IF(AND(DV$1="DATE",ISNUMBER(DW$1),COUNTIF($A$1:$OJ$1,DW$1)&gt;1),1,0)</f>
        <v/>
      </c>
      <c r="DW35">
        <f>IF(AND(DW$1="DATE",ISNUMBER(DX$1),COUNTIF($A$1:$OJ$1,DX$1)&gt;1),1,0)</f>
        <v/>
      </c>
      <c r="DX35">
        <f>IF(AND(DX$1="DATE",ISNUMBER(DY$1),COUNTIF($A$1:$OJ$1,DY$1)&gt;1),1,0)</f>
        <v/>
      </c>
      <c r="DY35">
        <f>IF(AND(DY$1="DATE",ISNUMBER(DZ$1),COUNTIF($A$1:$OJ$1,DZ$1)&gt;1),1,0)</f>
        <v/>
      </c>
      <c r="DZ35">
        <f>IF(AND(DZ$1="DATE",ISNUMBER(EA$1),COUNTIF($A$1:$OJ$1,EA$1)&gt;1),1,0)</f>
        <v/>
      </c>
      <c r="EA35">
        <f>IF(AND(EA$1="DATE",ISNUMBER(EB$1),COUNTIF($A$1:$OJ$1,EB$1)&gt;1),1,0)</f>
        <v/>
      </c>
      <c r="EB35">
        <f>IF(AND(EB$1="DATE",ISNUMBER(EC$1),COUNTIF($A$1:$OJ$1,EC$1)&gt;1),1,0)</f>
        <v/>
      </c>
      <c r="EC35">
        <f>IF(AND(EC$1="DATE",ISNUMBER(ED$1),COUNTIF($A$1:$OJ$1,ED$1)&gt;1),1,0)</f>
        <v/>
      </c>
      <c r="ED35">
        <f>IF(AND(ED$1="DATE",ISNUMBER(EE$1),COUNTIF($A$1:$OJ$1,EE$1)&gt;1),1,0)</f>
        <v/>
      </c>
      <c r="EE35">
        <f>IF(AND(EE$1="DATE",ISNUMBER(EF$1),COUNTIF($A$1:$OJ$1,EF$1)&gt;1),1,0)</f>
        <v/>
      </c>
      <c r="EF35">
        <f>IF(AND(EF$1="DATE",ISNUMBER(EG$1),COUNTIF($A$1:$OJ$1,EG$1)&gt;1),1,0)</f>
        <v/>
      </c>
      <c r="EG35">
        <f>IF(AND(EG$1="DATE",ISNUMBER(EH$1),COUNTIF($A$1:$OJ$1,EH$1)&gt;1),1,0)</f>
        <v/>
      </c>
      <c r="EH35">
        <f>IF(AND(EH$1="DATE",ISNUMBER(EI$1),COUNTIF($A$1:$OJ$1,EI$1)&gt;1),1,0)</f>
        <v/>
      </c>
      <c r="EI35">
        <f>IF(AND(EI$1="DATE",ISNUMBER(EJ$1),COUNTIF($A$1:$OJ$1,EJ$1)&gt;1),1,0)</f>
        <v/>
      </c>
      <c r="EJ35">
        <f>IF(AND(EJ$1="DATE",ISNUMBER(EK$1),COUNTIF($A$1:$OJ$1,EK$1)&gt;1),1,0)</f>
        <v/>
      </c>
      <c r="EK35">
        <f>IF(AND(EK$1="DATE",ISNUMBER(EL$1),COUNTIF($A$1:$OJ$1,EL$1)&gt;1),1,0)</f>
        <v/>
      </c>
      <c r="EL35">
        <f>IF(AND(EL$1="DATE",ISNUMBER(EM$1),COUNTIF($A$1:$OJ$1,EM$1)&gt;1),1,0)</f>
        <v/>
      </c>
      <c r="EM35">
        <f>IF(AND(EM$1="DATE",ISNUMBER(EN$1),COUNTIF($A$1:$OJ$1,EN$1)&gt;1),1,0)</f>
        <v/>
      </c>
      <c r="EN35">
        <f>IF(AND(EN$1="DATE",ISNUMBER(EO$1),COUNTIF($A$1:$OJ$1,EO$1)&gt;1),1,0)</f>
        <v/>
      </c>
      <c r="EO35">
        <f>IF(AND(EO$1="DATE",ISNUMBER(EP$1),COUNTIF($A$1:$OJ$1,EP$1)&gt;1),1,0)</f>
        <v/>
      </c>
      <c r="EP35">
        <f>IF(AND(EP$1="DATE",ISNUMBER(EQ$1),COUNTIF($A$1:$OJ$1,EQ$1)&gt;1),1,0)</f>
        <v/>
      </c>
      <c r="EQ35">
        <f>IF(AND(EQ$1="DATE",ISNUMBER(ER$1),COUNTIF($A$1:$OJ$1,ER$1)&gt;1),1,0)</f>
        <v/>
      </c>
      <c r="ER35">
        <f>IF(AND(ER$1="DATE",ISNUMBER(ES$1),COUNTIF($A$1:$OJ$1,ES$1)&gt;1),1,0)</f>
        <v/>
      </c>
      <c r="ES35">
        <f>IF(AND(ES$1="DATE",ISNUMBER(ET$1),COUNTIF($A$1:$OJ$1,ET$1)&gt;1),1,0)</f>
        <v/>
      </c>
      <c r="ET35">
        <f>IF(AND(ET$1="DATE",ISNUMBER(EU$1),COUNTIF($A$1:$OJ$1,EU$1)&gt;1),1,0)</f>
        <v/>
      </c>
      <c r="EU35">
        <f>IF(AND(EU$1="DATE",ISNUMBER(EV$1),COUNTIF($A$1:$OJ$1,EV$1)&gt;1),1,0)</f>
        <v/>
      </c>
      <c r="EV35">
        <f>IF(AND(EV$1="DATE",ISNUMBER(EW$1),COUNTIF($A$1:$OJ$1,EW$1)&gt;1),1,0)</f>
        <v/>
      </c>
      <c r="EW35">
        <f>IF(AND(EW$1="DATE",ISNUMBER(EX$1),COUNTIF($A$1:$OJ$1,EX$1)&gt;1),1,0)</f>
        <v/>
      </c>
      <c r="EX35">
        <f>IF(AND(EX$1="DATE",ISNUMBER(EY$1),COUNTIF($A$1:$OJ$1,EY$1)&gt;1),1,0)</f>
        <v/>
      </c>
      <c r="EY35">
        <f>IF(AND(EY$1="DATE",ISNUMBER(EZ$1),COUNTIF($A$1:$OJ$1,EZ$1)&gt;1),1,0)</f>
        <v/>
      </c>
      <c r="EZ35">
        <f>IF(AND(EZ$1="DATE",ISNUMBER(FA$1),COUNTIF($A$1:$OJ$1,FA$1)&gt;1),1,0)</f>
        <v/>
      </c>
      <c r="FA35">
        <f>IF(AND(FA$1="DATE",ISNUMBER(FB$1),COUNTIF($A$1:$OJ$1,FB$1)&gt;1),1,0)</f>
        <v/>
      </c>
      <c r="FB35">
        <f>IF(AND(FB$1="DATE",ISNUMBER(FC$1),COUNTIF($A$1:$OJ$1,FC$1)&gt;1),1,0)</f>
        <v/>
      </c>
      <c r="FC35">
        <f>IF(AND(FC$1="DATE",ISNUMBER(FD$1),COUNTIF($A$1:$OJ$1,FD$1)&gt;1),1,0)</f>
        <v/>
      </c>
      <c r="FD35">
        <f>IF(AND(FD$1="DATE",ISNUMBER(FE$1),COUNTIF($A$1:$OJ$1,FE$1)&gt;1),1,0)</f>
        <v/>
      </c>
      <c r="FE35">
        <f>IF(AND(FE$1="DATE",ISNUMBER(FF$1),COUNTIF($A$1:$OJ$1,FF$1)&gt;1),1,0)</f>
        <v/>
      </c>
      <c r="FF35">
        <f>IF(AND(FF$1="DATE",ISNUMBER(FG$1),COUNTIF($A$1:$OJ$1,FG$1)&gt;1),1,0)</f>
        <v/>
      </c>
      <c r="FG35">
        <f>IF(AND(FG$1="DATE",ISNUMBER(FH$1),COUNTIF($A$1:$OJ$1,FH$1)&gt;1),1,0)</f>
        <v/>
      </c>
      <c r="FH35">
        <f>IF(AND(FH$1="DATE",ISNUMBER(FI$1),COUNTIF($A$1:$OJ$1,FI$1)&gt;1),1,0)</f>
        <v/>
      </c>
      <c r="FI35">
        <f>IF(AND(FI$1="DATE",ISNUMBER(FJ$1),COUNTIF($A$1:$OJ$1,FJ$1)&gt;1),1,0)</f>
        <v/>
      </c>
      <c r="FJ35">
        <f>IF(AND(FJ$1="DATE",ISNUMBER(FK$1),COUNTIF($A$1:$OJ$1,FK$1)&gt;1),1,0)</f>
        <v/>
      </c>
      <c r="FK35">
        <f>IF(AND(FK$1="DATE",ISNUMBER(FL$1),COUNTIF($A$1:$OJ$1,FL$1)&gt;1),1,0)</f>
        <v/>
      </c>
      <c r="FL35">
        <f>IF(AND(FL$1="DATE",ISNUMBER(FM$1),COUNTIF($A$1:$OJ$1,FM$1)&gt;1),1,0)</f>
        <v/>
      </c>
      <c r="FM35">
        <f>IF(AND(FM$1="DATE",ISNUMBER(FN$1),COUNTIF($A$1:$OJ$1,FN$1)&gt;1),1,0)</f>
        <v/>
      </c>
      <c r="FN35">
        <f>IF(AND(FN$1="DATE",ISNUMBER(FO$1),COUNTIF($A$1:$OJ$1,FO$1)&gt;1),1,0)</f>
        <v/>
      </c>
      <c r="FO35">
        <f>IF(AND(FO$1="DATE",ISNUMBER(FP$1),COUNTIF($A$1:$OJ$1,FP$1)&gt;1),1,0)</f>
        <v/>
      </c>
      <c r="FP35">
        <f>IF(AND(FP$1="DATE",ISNUMBER(FQ$1),COUNTIF($A$1:$OJ$1,FQ$1)&gt;1),1,0)</f>
        <v/>
      </c>
      <c r="FQ35">
        <f>IF(AND(FQ$1="DATE",ISNUMBER(FR$1),COUNTIF($A$1:$OJ$1,FR$1)&gt;1),1,0)</f>
        <v/>
      </c>
      <c r="FR35">
        <f>IF(AND(FR$1="DATE",ISNUMBER(FS$1),COUNTIF($A$1:$OJ$1,FS$1)&gt;1),1,0)</f>
        <v/>
      </c>
      <c r="FS35">
        <f>IF(AND(FS$1="DATE",ISNUMBER(FT$1),COUNTIF($A$1:$OJ$1,FT$1)&gt;1),1,0)</f>
        <v/>
      </c>
      <c r="FT35">
        <f>IF(AND(FT$1="DATE",ISNUMBER(FU$1),COUNTIF($A$1:$OJ$1,FU$1)&gt;1),1,0)</f>
        <v/>
      </c>
      <c r="FU35">
        <f>IF(AND(FU$1="DATE",ISNUMBER(FV$1),COUNTIF($A$1:$OJ$1,FV$1)&gt;1),1,0)</f>
        <v/>
      </c>
      <c r="FV35">
        <f>IF(AND(FV$1="DATE",ISNUMBER(FW$1),COUNTIF($A$1:$OJ$1,FW$1)&gt;1),1,0)</f>
        <v/>
      </c>
      <c r="FW35">
        <f>IF(AND(FW$1="DATE",ISNUMBER(FX$1),COUNTIF($A$1:$OJ$1,FX$1)&gt;1),1,0)</f>
        <v/>
      </c>
      <c r="FX35">
        <f>IF(AND(FX$1="DATE",ISNUMBER(FY$1),COUNTIF($A$1:$OJ$1,FY$1)&gt;1),1,0)</f>
        <v/>
      </c>
      <c r="FY35">
        <f>IF(AND(FY$1="DATE",ISNUMBER(FZ$1),COUNTIF($A$1:$OJ$1,FZ$1)&gt;1),1,0)</f>
        <v/>
      </c>
      <c r="FZ35">
        <f>IF(AND(FZ$1="DATE",ISNUMBER(GA$1),COUNTIF($A$1:$OJ$1,GA$1)&gt;1),1,0)</f>
        <v/>
      </c>
      <c r="GA35">
        <f>IF(AND(GA$1="DATE",ISNUMBER(GB$1),COUNTIF($A$1:$OJ$1,GB$1)&gt;1),1,0)</f>
        <v/>
      </c>
      <c r="GB35">
        <f>IF(AND(GB$1="DATE",ISNUMBER(GC$1),COUNTIF($A$1:$OJ$1,GC$1)&gt;1),1,0)</f>
        <v/>
      </c>
      <c r="GC35">
        <f>IF(AND(GC$1="DATE",ISNUMBER(GD$1),COUNTIF($A$1:$OJ$1,GD$1)&gt;1),1,0)</f>
        <v/>
      </c>
      <c r="GD35">
        <f>IF(AND(GD$1="DATE",ISNUMBER(GE$1),COUNTIF($A$1:$OJ$1,GE$1)&gt;1),1,0)</f>
        <v/>
      </c>
      <c r="GE35">
        <f>IF(AND(GE$1="DATE",ISNUMBER(GF$1),COUNTIF($A$1:$OJ$1,GF$1)&gt;1),1,0)</f>
        <v/>
      </c>
      <c r="GF35">
        <f>IF(AND(GF$1="DATE",ISNUMBER(GG$1),COUNTIF($A$1:$OJ$1,GG$1)&gt;1),1,0)</f>
        <v/>
      </c>
      <c r="GG35">
        <f>IF(AND(GG$1="DATE",ISNUMBER(GH$1),COUNTIF($A$1:$OJ$1,GH$1)&gt;1),1,0)</f>
        <v/>
      </c>
      <c r="GH35">
        <f>IF(AND(GH$1="DATE",ISNUMBER(GI$1),COUNTIF($A$1:$OJ$1,GI$1)&gt;1),1,0)</f>
        <v/>
      </c>
      <c r="GI35">
        <f>IF(AND(GI$1="DATE",ISNUMBER(GJ$1),COUNTIF($A$1:$OJ$1,GJ$1)&gt;1),1,0)</f>
        <v/>
      </c>
      <c r="GJ35">
        <f>IF(AND(GJ$1="DATE",ISNUMBER(GK$1),COUNTIF($A$1:$OJ$1,GK$1)&gt;1),1,0)</f>
        <v/>
      </c>
      <c r="GK35">
        <f>IF(AND(GK$1="DATE",ISNUMBER(GL$1),COUNTIF($A$1:$OJ$1,GL$1)&gt;1),1,0)</f>
        <v/>
      </c>
      <c r="GL35">
        <f>IF(AND(GL$1="DATE",ISNUMBER(GM$1),COUNTIF($A$1:$OJ$1,GM$1)&gt;1),1,0)</f>
        <v/>
      </c>
      <c r="GM35">
        <f>IF(AND(GM$1="DATE",ISNUMBER(GN$1),COUNTIF($A$1:$OJ$1,GN$1)&gt;1),1,0)</f>
        <v/>
      </c>
      <c r="GN35">
        <f>IF(AND(GN$1="DATE",ISNUMBER(GO$1),COUNTIF($A$1:$OJ$1,GO$1)&gt;1),1,0)</f>
        <v/>
      </c>
      <c r="GO35">
        <f>IF(AND(GO$1="DATE",ISNUMBER(GP$1),COUNTIF($A$1:$OJ$1,GP$1)&gt;1),1,0)</f>
        <v/>
      </c>
      <c r="GP35">
        <f>IF(AND(GP$1="DATE",ISNUMBER(GQ$1),COUNTIF($A$1:$OJ$1,GQ$1)&gt;1),1,0)</f>
        <v/>
      </c>
      <c r="GQ35">
        <f>IF(AND(GQ$1="DATE",ISNUMBER(GR$1),COUNTIF($A$1:$OJ$1,GR$1)&gt;1),1,0)</f>
        <v/>
      </c>
      <c r="GR35">
        <f>IF(AND(GR$1="DATE",ISNUMBER(GS$1),COUNTIF($A$1:$OJ$1,GS$1)&gt;1),1,0)</f>
        <v/>
      </c>
      <c r="GS35">
        <f>IF(AND(GS$1="DATE",ISNUMBER(GT$1),COUNTIF($A$1:$OJ$1,GT$1)&gt;1),1,0)</f>
        <v/>
      </c>
      <c r="GT35">
        <f>IF(AND(GT$1="DATE",ISNUMBER(GU$1),COUNTIF($A$1:$OJ$1,GU$1)&gt;1),1,0)</f>
        <v/>
      </c>
      <c r="GU35">
        <f>IF(AND(GU$1="DATE",ISNUMBER(GV$1),COUNTIF($A$1:$OJ$1,GV$1)&gt;1),1,0)</f>
        <v/>
      </c>
      <c r="GV35">
        <f>IF(AND(GV$1="DATE",ISNUMBER(GW$1),COUNTIF($A$1:$OJ$1,GW$1)&gt;1),1,0)</f>
        <v/>
      </c>
      <c r="GW35">
        <f>IF(AND(GW$1="DATE",ISNUMBER(GX$1),COUNTIF($A$1:$OJ$1,GX$1)&gt;1),1,0)</f>
        <v/>
      </c>
      <c r="GX35">
        <f>IF(AND(GX$1="DATE",ISNUMBER(GY$1),COUNTIF($A$1:$OJ$1,GY$1)&gt;1),1,0)</f>
        <v/>
      </c>
      <c r="GY35">
        <f>IF(AND(GY$1="DATE",ISNUMBER(GZ$1),COUNTIF($A$1:$OJ$1,GZ$1)&gt;1),1,0)</f>
        <v/>
      </c>
      <c r="GZ35">
        <f>IF(AND(GZ$1="DATE",ISNUMBER(HA$1),COUNTIF($A$1:$OJ$1,HA$1)&gt;1),1,0)</f>
        <v/>
      </c>
      <c r="HA35">
        <f>IF(AND(HA$1="DATE",ISNUMBER(HB$1),COUNTIF($A$1:$OJ$1,HB$1)&gt;1),1,0)</f>
        <v/>
      </c>
      <c r="HB35">
        <f>IF(AND(HB$1="DATE",ISNUMBER(HC$1),COUNTIF($A$1:$OJ$1,HC$1)&gt;1),1,0)</f>
        <v/>
      </c>
      <c r="HC35">
        <f>IF(AND(HC$1="DATE",ISNUMBER(HD$1),COUNTIF($A$1:$OJ$1,HD$1)&gt;1),1,0)</f>
        <v/>
      </c>
      <c r="HD35">
        <f>IF(AND(HD$1="DATE",ISNUMBER(HE$1),COUNTIF($A$1:$OJ$1,HE$1)&gt;1),1,0)</f>
        <v/>
      </c>
      <c r="HE35">
        <f>IF(AND(HE$1="DATE",ISNUMBER(HF$1),COUNTIF($A$1:$OJ$1,HF$1)&gt;1),1,0)</f>
        <v/>
      </c>
      <c r="HF35">
        <f>IF(AND(HF$1="DATE",ISNUMBER(HG$1),COUNTIF($A$1:$OJ$1,HG$1)&gt;1),1,0)</f>
        <v/>
      </c>
      <c r="HG35">
        <f>IF(AND(HG$1="DATE",ISNUMBER(HH$1),COUNTIF($A$1:$OJ$1,HH$1)&gt;1),1,0)</f>
        <v/>
      </c>
      <c r="HH35">
        <f>IF(AND(HH$1="DATE",ISNUMBER(HI$1),COUNTIF($A$1:$OJ$1,HI$1)&gt;1),1,0)</f>
        <v/>
      </c>
      <c r="HI35">
        <f>IF(AND(HI$1="DATE",ISNUMBER(HJ$1),COUNTIF($A$1:$OJ$1,HJ$1)&gt;1),1,0)</f>
        <v/>
      </c>
      <c r="HJ35">
        <f>IF(AND(HJ$1="DATE",ISNUMBER(HK$1),COUNTIF($A$1:$OJ$1,HK$1)&gt;1),1,0)</f>
        <v/>
      </c>
      <c r="HK35">
        <f>IF(AND(HK$1="DATE",ISNUMBER(HL$1),COUNTIF($A$1:$OJ$1,HL$1)&gt;1),1,0)</f>
        <v/>
      </c>
      <c r="HL35">
        <f>IF(AND(HL$1="DATE",ISNUMBER(HM$1),COUNTIF($A$1:$OJ$1,HM$1)&gt;1),1,0)</f>
        <v/>
      </c>
      <c r="HM35">
        <f>IF(AND(HM$1="DATE",ISNUMBER(HN$1),COUNTIF($A$1:$OJ$1,HN$1)&gt;1),1,0)</f>
        <v/>
      </c>
      <c r="HN35">
        <f>IF(AND(HN$1="DATE",ISNUMBER(HO$1),COUNTIF($A$1:$OJ$1,HO$1)&gt;1),1,0)</f>
        <v/>
      </c>
      <c r="HO35">
        <f>IF(AND(HO$1="DATE",ISNUMBER(HP$1),COUNTIF($A$1:$OJ$1,HP$1)&gt;1),1,0)</f>
        <v/>
      </c>
      <c r="HP35">
        <f>IF(AND(HP$1="DATE",ISNUMBER(HQ$1),COUNTIF($A$1:$OJ$1,HQ$1)&gt;1),1,0)</f>
        <v/>
      </c>
      <c r="HQ35">
        <f>IF(AND(HQ$1="DATE",ISNUMBER(HR$1),COUNTIF($A$1:$OJ$1,HR$1)&gt;1),1,0)</f>
        <v/>
      </c>
      <c r="HR35">
        <f>IF(AND(HR$1="DATE",ISNUMBER(HS$1),COUNTIF($A$1:$OJ$1,HS$1)&gt;1),1,0)</f>
        <v/>
      </c>
      <c r="HS35">
        <f>IF(AND(HS$1="DATE",ISNUMBER(HT$1),COUNTIF($A$1:$OJ$1,HT$1)&gt;1),1,0)</f>
        <v/>
      </c>
      <c r="HT35">
        <f>IF(AND(HT$1="DATE",ISNUMBER(HU$1),COUNTIF($A$1:$OJ$1,HU$1)&gt;1),1,0)</f>
        <v/>
      </c>
      <c r="HU35">
        <f>IF(AND(HU$1="DATE",ISNUMBER(HV$1),COUNTIF($A$1:$OJ$1,HV$1)&gt;1),1,0)</f>
        <v/>
      </c>
      <c r="HV35">
        <f>IF(AND(HV$1="DATE",ISNUMBER(HW$1),COUNTIF($A$1:$OJ$1,HW$1)&gt;1),1,0)</f>
        <v/>
      </c>
      <c r="HW35">
        <f>IF(AND(HW$1="DATE",ISNUMBER(HX$1),COUNTIF($A$1:$OJ$1,HX$1)&gt;1),1,0)</f>
        <v/>
      </c>
      <c r="HX35">
        <f>IF(AND(HX$1="DATE",ISNUMBER(HY$1),COUNTIF($A$1:$OJ$1,HY$1)&gt;1),1,0)</f>
        <v/>
      </c>
      <c r="HY35">
        <f>IF(AND(HY$1="DATE",ISNUMBER(HZ$1),COUNTIF($A$1:$OJ$1,HZ$1)&gt;1),1,0)</f>
        <v/>
      </c>
      <c r="HZ35">
        <f>IF(AND(HZ$1="DATE",ISNUMBER(IA$1),COUNTIF($A$1:$OJ$1,IA$1)&gt;1),1,0)</f>
        <v/>
      </c>
      <c r="IA35">
        <f>IF(AND(IA$1="DATE",ISNUMBER(IB$1),COUNTIF($A$1:$OJ$1,IB$1)&gt;1),1,0)</f>
        <v/>
      </c>
      <c r="IB35">
        <f>IF(AND(IB$1="DATE",ISNUMBER(IC$1),COUNTIF($A$1:$OJ$1,IC$1)&gt;1),1,0)</f>
        <v/>
      </c>
      <c r="IC35">
        <f>IF(AND(IC$1="DATE",ISNUMBER(ID$1),COUNTIF($A$1:$OJ$1,ID$1)&gt;1),1,0)</f>
        <v/>
      </c>
      <c r="ID35">
        <f>IF(AND(ID$1="DATE",ISNUMBER(IE$1),COUNTIF($A$1:$OJ$1,IE$1)&gt;1),1,0)</f>
        <v/>
      </c>
      <c r="IE35">
        <f>IF(AND(IE$1="DATE",ISNUMBER(IF$1),COUNTIF($A$1:$OJ$1,IF$1)&gt;1),1,0)</f>
        <v/>
      </c>
      <c r="IF35">
        <f>IF(AND(IF$1="DATE",ISNUMBER(IG$1),COUNTIF($A$1:$OJ$1,IG$1)&gt;1),1,0)</f>
        <v/>
      </c>
      <c r="IG35">
        <f>IF(AND(IG$1="DATE",ISNUMBER(IH$1),COUNTIF($A$1:$OJ$1,IH$1)&gt;1),1,0)</f>
        <v/>
      </c>
      <c r="IH35">
        <f>IF(AND(IH$1="DATE",ISNUMBER(II$1),COUNTIF($A$1:$OJ$1,II$1)&gt;1),1,0)</f>
        <v/>
      </c>
      <c r="II35">
        <f>IF(AND(II$1="DATE",ISNUMBER(IJ$1),COUNTIF($A$1:$OJ$1,IJ$1)&gt;1),1,0)</f>
        <v/>
      </c>
      <c r="IJ35">
        <f>IF(AND(IJ$1="DATE",ISNUMBER(IK$1),COUNTIF($A$1:$OJ$1,IK$1)&gt;1),1,0)</f>
        <v/>
      </c>
      <c r="IK35">
        <f>IF(AND(IK$1="DATE",ISNUMBER(IL$1),COUNTIF($A$1:$OJ$1,IL$1)&gt;1),1,0)</f>
        <v/>
      </c>
      <c r="IL35">
        <f>IF(AND(IL$1="DATE",ISNUMBER(IM$1),COUNTIF($A$1:$OJ$1,IM$1)&gt;1),1,0)</f>
        <v/>
      </c>
      <c r="IM35">
        <f>IF(AND(IM$1="DATE",ISNUMBER(IN$1),COUNTIF($A$1:$OJ$1,IN$1)&gt;1),1,0)</f>
        <v/>
      </c>
      <c r="IN35">
        <f>IF(AND(IN$1="DATE",ISNUMBER(IO$1),COUNTIF($A$1:$OJ$1,IO$1)&gt;1),1,0)</f>
        <v/>
      </c>
      <c r="IO35">
        <f>IF(AND(IO$1="DATE",ISNUMBER(IP$1),COUNTIF($A$1:$OJ$1,IP$1)&gt;1),1,0)</f>
        <v/>
      </c>
      <c r="IP35">
        <f>IF(AND(IP$1="DATE",ISNUMBER(IQ$1),COUNTIF($A$1:$OJ$1,IQ$1)&gt;1),1,0)</f>
        <v/>
      </c>
      <c r="IQ35">
        <f>IF(AND(IQ$1="DATE",ISNUMBER(IR$1),COUNTIF($A$1:$OJ$1,IR$1)&gt;1),1,0)</f>
        <v/>
      </c>
      <c r="IR35">
        <f>IF(AND(IR$1="DATE",ISNUMBER(IS$1),COUNTIF($A$1:$OJ$1,IS$1)&gt;1),1,0)</f>
        <v/>
      </c>
      <c r="IS35">
        <f>IF(AND(IS$1="DATE",ISNUMBER(IT$1),COUNTIF($A$1:$OJ$1,IT$1)&gt;1),1,0)</f>
        <v/>
      </c>
      <c r="IT35">
        <f>IF(AND(IT$1="DATE",ISNUMBER(IU$1),COUNTIF($A$1:$OJ$1,IU$1)&gt;1),1,0)</f>
        <v/>
      </c>
      <c r="IU35">
        <f>IF(AND(IU$1="DATE",ISNUMBER(IV$1),COUNTIF($A$1:$OJ$1,IV$1)&gt;1),1,0)</f>
        <v/>
      </c>
      <c r="IV35">
        <f>IF(AND(IV$1="DATE",ISNUMBER(IW$1),COUNTIF($A$1:$OJ$1,IW$1)&gt;1),1,0)</f>
        <v/>
      </c>
      <c r="IW35">
        <f>IF(AND(IW$1="DATE",ISNUMBER(IX$1),COUNTIF($A$1:$OJ$1,IX$1)&gt;1),1,0)</f>
        <v/>
      </c>
      <c r="IX35">
        <f>IF(AND(IX$1="DATE",ISNUMBER(IY$1),COUNTIF($A$1:$OJ$1,IY$1)&gt;1),1,0)</f>
        <v/>
      </c>
      <c r="IY35">
        <f>IF(AND(IY$1="DATE",ISNUMBER(IZ$1),COUNTIF($A$1:$OJ$1,IZ$1)&gt;1),1,0)</f>
        <v/>
      </c>
      <c r="IZ35">
        <f>IF(AND(IZ$1="DATE",ISNUMBER(JA$1),COUNTIF($A$1:$OJ$1,JA$1)&gt;1),1,0)</f>
        <v/>
      </c>
      <c r="JA35">
        <f>IF(AND(JA$1="DATE",ISNUMBER(JB$1),COUNTIF($A$1:$OJ$1,JB$1)&gt;1),1,0)</f>
        <v/>
      </c>
      <c r="JB35">
        <f>IF(AND(JB$1="DATE",ISNUMBER(JC$1),COUNTIF($A$1:$OJ$1,JC$1)&gt;1),1,0)</f>
        <v/>
      </c>
      <c r="JC35">
        <f>IF(AND(JC$1="DATE",ISNUMBER(JD$1),COUNTIF($A$1:$OJ$1,JD$1)&gt;1),1,0)</f>
        <v/>
      </c>
      <c r="JD35">
        <f>IF(AND(JD$1="DATE",ISNUMBER(JE$1),COUNTIF($A$1:$OJ$1,JE$1)&gt;1),1,0)</f>
        <v/>
      </c>
      <c r="JE35">
        <f>IF(AND(JE$1="DATE",ISNUMBER(JF$1),COUNTIF($A$1:$OJ$1,JF$1)&gt;1),1,0)</f>
        <v/>
      </c>
      <c r="JF35">
        <f>IF(AND(JF$1="DATE",ISNUMBER(JG$1),COUNTIF($A$1:$OJ$1,JG$1)&gt;1),1,0)</f>
        <v/>
      </c>
      <c r="JG35">
        <f>IF(AND(JG$1="DATE",ISNUMBER(JH$1),COUNTIF($A$1:$OJ$1,JH$1)&gt;1),1,0)</f>
        <v/>
      </c>
      <c r="JH35">
        <f>IF(AND(JH$1="DATE",ISNUMBER(JI$1),COUNTIF($A$1:$OJ$1,JI$1)&gt;1),1,0)</f>
        <v/>
      </c>
      <c r="JI35">
        <f>IF(AND(JI$1="DATE",ISNUMBER(JJ$1),COUNTIF($A$1:$OJ$1,JJ$1)&gt;1),1,0)</f>
        <v/>
      </c>
      <c r="JJ35">
        <f>IF(AND(JJ$1="DATE",ISNUMBER(JK$1),COUNTIF($A$1:$OJ$1,JK$1)&gt;1),1,0)</f>
        <v/>
      </c>
      <c r="JK35">
        <f>IF(AND(JK$1="DATE",ISNUMBER(JL$1),COUNTIF($A$1:$OJ$1,JL$1)&gt;1),1,0)</f>
        <v/>
      </c>
      <c r="JL35">
        <f>IF(AND(JL$1="DATE",ISNUMBER(JM$1),COUNTIF($A$1:$OJ$1,JM$1)&gt;1),1,0)</f>
        <v/>
      </c>
      <c r="JM35">
        <f>IF(AND(JM$1="DATE",ISNUMBER(JN$1),COUNTIF($A$1:$OJ$1,JN$1)&gt;1),1,0)</f>
        <v/>
      </c>
      <c r="JN35">
        <f>IF(AND(JN$1="DATE",ISNUMBER(JO$1),COUNTIF($A$1:$OJ$1,JO$1)&gt;1),1,0)</f>
        <v/>
      </c>
      <c r="JO35">
        <f>IF(AND(JO$1="DATE",ISNUMBER(JP$1),COUNTIF($A$1:$OJ$1,JP$1)&gt;1),1,0)</f>
        <v/>
      </c>
      <c r="JP35">
        <f>IF(AND(JP$1="DATE",ISNUMBER(JQ$1),COUNTIF($A$1:$OJ$1,JQ$1)&gt;1),1,0)</f>
        <v/>
      </c>
      <c r="JQ35">
        <f>IF(AND(JQ$1="DATE",ISNUMBER(JR$1),COUNTIF($A$1:$OJ$1,JR$1)&gt;1),1,0)</f>
        <v/>
      </c>
      <c r="JR35">
        <f>IF(AND(JR$1="DATE",ISNUMBER(JS$1),COUNTIF($A$1:$OJ$1,JS$1)&gt;1),1,0)</f>
        <v/>
      </c>
      <c r="JS35">
        <f>IF(AND(JS$1="DATE",ISNUMBER(JT$1),COUNTIF($A$1:$OJ$1,JT$1)&gt;1),1,0)</f>
        <v/>
      </c>
      <c r="JT35">
        <f>IF(AND(JT$1="DATE",ISNUMBER(JU$1),COUNTIF($A$1:$OJ$1,JU$1)&gt;1),1,0)</f>
        <v/>
      </c>
      <c r="JU35">
        <f>IF(AND(JU$1="DATE",ISNUMBER(JV$1),COUNTIF($A$1:$OJ$1,JV$1)&gt;1),1,0)</f>
        <v/>
      </c>
      <c r="JV35">
        <f>IF(AND(JV$1="DATE",ISNUMBER(JW$1),COUNTIF($A$1:$OJ$1,JW$1)&gt;1),1,0)</f>
        <v/>
      </c>
      <c r="JW35">
        <f>IF(AND(JW$1="DATE",ISNUMBER(JX$1),COUNTIF($A$1:$OJ$1,JX$1)&gt;1),1,0)</f>
        <v/>
      </c>
      <c r="JX35">
        <f>IF(AND(JX$1="DATE",ISNUMBER(JY$1),COUNTIF($A$1:$OJ$1,JY$1)&gt;1),1,0)</f>
        <v/>
      </c>
      <c r="JY35">
        <f>IF(AND(JY$1="DATE",ISNUMBER(JZ$1),COUNTIF($A$1:$OJ$1,JZ$1)&gt;1),1,0)</f>
        <v/>
      </c>
      <c r="JZ35">
        <f>IF(AND(JZ$1="DATE",ISNUMBER(KA$1),COUNTIF($A$1:$OJ$1,KA$1)&gt;1),1,0)</f>
        <v/>
      </c>
      <c r="KA35">
        <f>IF(AND(KA$1="DATE",ISNUMBER(KB$1),COUNTIF($A$1:$OJ$1,KB$1)&gt;1),1,0)</f>
        <v/>
      </c>
      <c r="KB35">
        <f>IF(AND(KB$1="DATE",ISNUMBER(KC$1),COUNTIF($A$1:$OJ$1,KC$1)&gt;1),1,0)</f>
        <v/>
      </c>
      <c r="KC35">
        <f>IF(AND(KC$1="DATE",ISNUMBER(KD$1),COUNTIF($A$1:$OJ$1,KD$1)&gt;1),1,0)</f>
        <v/>
      </c>
      <c r="KD35">
        <f>IF(AND(KD$1="DATE",ISNUMBER(KE$1),COUNTIF($A$1:$OJ$1,KE$1)&gt;1),1,0)</f>
        <v/>
      </c>
      <c r="KE35">
        <f>IF(AND(KE$1="DATE",ISNUMBER(KF$1),COUNTIF($A$1:$OJ$1,KF$1)&gt;1),1,0)</f>
        <v/>
      </c>
      <c r="KF35">
        <f>IF(AND(KF$1="DATE",ISNUMBER(KG$1),COUNTIF($A$1:$OJ$1,KG$1)&gt;1),1,0)</f>
        <v/>
      </c>
      <c r="KG35">
        <f>IF(AND(KG$1="DATE",ISNUMBER(KH$1),COUNTIF($A$1:$OJ$1,KH$1)&gt;1),1,0)</f>
        <v/>
      </c>
      <c r="KH35">
        <f>IF(AND(KH$1="DATE",ISNUMBER(KI$1),COUNTIF($A$1:$OJ$1,KI$1)&gt;1),1,0)</f>
        <v/>
      </c>
      <c r="KI35">
        <f>IF(AND(KI$1="DATE",ISNUMBER(KJ$1),COUNTIF($A$1:$OJ$1,KJ$1)&gt;1),1,0)</f>
        <v/>
      </c>
      <c r="KJ35">
        <f>IF(AND(KJ$1="DATE",ISNUMBER(KK$1),COUNTIF($A$1:$OJ$1,KK$1)&gt;1),1,0)</f>
        <v/>
      </c>
      <c r="KK35">
        <f>IF(AND(KK$1="DATE",ISNUMBER(KL$1),COUNTIF($A$1:$OJ$1,KL$1)&gt;1),1,0)</f>
        <v/>
      </c>
      <c r="KL35">
        <f>IF(AND(KL$1="DATE",ISNUMBER(KM$1),COUNTIF($A$1:$OJ$1,KM$1)&gt;1),1,0)</f>
        <v/>
      </c>
      <c r="KM35">
        <f>IF(AND(KM$1="DATE",ISNUMBER(KN$1),COUNTIF($A$1:$OJ$1,KN$1)&gt;1),1,0)</f>
        <v/>
      </c>
      <c r="KN35">
        <f>IF(AND(KN$1="DATE",ISNUMBER(KO$1),COUNTIF($A$1:$OJ$1,KO$1)&gt;1),1,0)</f>
        <v/>
      </c>
      <c r="KO35">
        <f>IF(AND(KO$1="DATE",ISNUMBER(KP$1),COUNTIF($A$1:$OJ$1,KP$1)&gt;1),1,0)</f>
        <v/>
      </c>
      <c r="KP35">
        <f>IF(AND(KP$1="DATE",ISNUMBER(KQ$1),COUNTIF($A$1:$OJ$1,KQ$1)&gt;1),1,0)</f>
        <v/>
      </c>
      <c r="KQ35">
        <f>IF(AND(KQ$1="DATE",ISNUMBER(KR$1),COUNTIF($A$1:$OJ$1,KR$1)&gt;1),1,0)</f>
        <v/>
      </c>
      <c r="KR35">
        <f>IF(AND(KR$1="DATE",ISNUMBER(KS$1),COUNTIF($A$1:$OJ$1,KS$1)&gt;1),1,0)</f>
        <v/>
      </c>
      <c r="KS35">
        <f>IF(AND(KS$1="DATE",ISNUMBER(KT$1),COUNTIF($A$1:$OJ$1,KT$1)&gt;1),1,0)</f>
        <v/>
      </c>
      <c r="KT35">
        <f>IF(AND(KT$1="DATE",ISNUMBER(KU$1),COUNTIF($A$1:$OJ$1,KU$1)&gt;1),1,0)</f>
        <v/>
      </c>
      <c r="KU35">
        <f>IF(AND(KU$1="DATE",ISNUMBER(KV$1),COUNTIF($A$1:$OJ$1,KV$1)&gt;1),1,0)</f>
        <v/>
      </c>
      <c r="KV35">
        <f>IF(AND(KV$1="DATE",ISNUMBER(KW$1),COUNTIF($A$1:$OJ$1,KW$1)&gt;1),1,0)</f>
        <v/>
      </c>
      <c r="KW35">
        <f>IF(AND(KW$1="DATE",ISNUMBER(KX$1),COUNTIF($A$1:$OJ$1,KX$1)&gt;1),1,0)</f>
        <v/>
      </c>
      <c r="KX35">
        <f>IF(AND(KX$1="DATE",ISNUMBER(KY$1),COUNTIF($A$1:$OJ$1,KY$1)&gt;1),1,0)</f>
        <v/>
      </c>
      <c r="KY35">
        <f>IF(AND(KY$1="DATE",ISNUMBER(KZ$1),COUNTIF($A$1:$OJ$1,KZ$1)&gt;1),1,0)</f>
        <v/>
      </c>
      <c r="KZ35">
        <f>IF(AND(KZ$1="DATE",ISNUMBER(LA$1),COUNTIF($A$1:$OJ$1,LA$1)&gt;1),1,0)</f>
        <v/>
      </c>
      <c r="LA35">
        <f>IF(AND(LA$1="DATE",ISNUMBER(LB$1),COUNTIF($A$1:$OJ$1,LB$1)&gt;1),1,0)</f>
        <v/>
      </c>
      <c r="LB35">
        <f>IF(AND(LB$1="DATE",ISNUMBER(LC$1),COUNTIF($A$1:$OJ$1,LC$1)&gt;1),1,0)</f>
        <v/>
      </c>
      <c r="LC35">
        <f>IF(AND(LC$1="DATE",ISNUMBER(LD$1),COUNTIF($A$1:$OJ$1,LD$1)&gt;1),1,0)</f>
        <v/>
      </c>
      <c r="LD35">
        <f>IF(AND(LD$1="DATE",ISNUMBER(LE$1),COUNTIF($A$1:$OJ$1,LE$1)&gt;1),1,0)</f>
        <v/>
      </c>
      <c r="LE35">
        <f>IF(AND(LE$1="DATE",ISNUMBER(LF$1),COUNTIF($A$1:$OJ$1,LF$1)&gt;1),1,0)</f>
        <v/>
      </c>
      <c r="LF35">
        <f>IF(AND(LF$1="DATE",ISNUMBER(LG$1),COUNTIF($A$1:$OJ$1,LG$1)&gt;1),1,0)</f>
        <v/>
      </c>
      <c r="LG35">
        <f>IF(AND(LG$1="DATE",ISNUMBER(LH$1),COUNTIF($A$1:$OJ$1,LH$1)&gt;1),1,0)</f>
        <v/>
      </c>
      <c r="LH35">
        <f>IF(AND(LH$1="DATE",ISNUMBER(LI$1),COUNTIF($A$1:$OJ$1,LI$1)&gt;1),1,0)</f>
        <v/>
      </c>
      <c r="LI35">
        <f>IF(AND(LI$1="DATE",ISNUMBER(LJ$1),COUNTIF($A$1:$OJ$1,LJ$1)&gt;1),1,0)</f>
        <v/>
      </c>
      <c r="LJ35">
        <f>IF(AND(LJ$1="DATE",ISNUMBER(LK$1),COUNTIF($A$1:$OJ$1,LK$1)&gt;1),1,0)</f>
        <v/>
      </c>
      <c r="LK35">
        <f>IF(AND(LK$1="DATE",ISNUMBER(LL$1),COUNTIF($A$1:$OJ$1,LL$1)&gt;1),1,0)</f>
        <v/>
      </c>
      <c r="LL35">
        <f>IF(AND(LL$1="DATE",ISNUMBER(LM$1),COUNTIF($A$1:$OJ$1,LM$1)&gt;1),1,0)</f>
        <v/>
      </c>
      <c r="LM35">
        <f>IF(AND(LM$1="DATE",ISNUMBER(LN$1),COUNTIF($A$1:$OJ$1,LN$1)&gt;1),1,0)</f>
        <v/>
      </c>
      <c r="LN35">
        <f>IF(AND(LN$1="DATE",ISNUMBER(LO$1),COUNTIF($A$1:$OJ$1,LO$1)&gt;1),1,0)</f>
        <v/>
      </c>
      <c r="LO35">
        <f>IF(AND(LO$1="DATE",ISNUMBER(LP$1),COUNTIF($A$1:$OJ$1,LP$1)&gt;1),1,0)</f>
        <v/>
      </c>
      <c r="LP35">
        <f>IF(AND(LP$1="DATE",ISNUMBER(LQ$1),COUNTIF($A$1:$OJ$1,LQ$1)&gt;1),1,0)</f>
        <v/>
      </c>
      <c r="LQ35">
        <f>IF(AND(LQ$1="DATE",ISNUMBER(LR$1),COUNTIF($A$1:$OJ$1,LR$1)&gt;1),1,0)</f>
        <v/>
      </c>
      <c r="LR35">
        <f>IF(AND(LR$1="DATE",ISNUMBER(LS$1),COUNTIF($A$1:$OJ$1,LS$1)&gt;1),1,0)</f>
        <v/>
      </c>
      <c r="LS35">
        <f>IF(AND(LS$1="DATE",ISNUMBER(LT$1),COUNTIF($A$1:$OJ$1,LT$1)&gt;1),1,0)</f>
        <v/>
      </c>
      <c r="LT35">
        <f>IF(AND(LT$1="DATE",ISNUMBER(LU$1),COUNTIF($A$1:$OJ$1,LU$1)&gt;1),1,0)</f>
        <v/>
      </c>
      <c r="LU35">
        <f>IF(AND(LU$1="DATE",ISNUMBER(LV$1),COUNTIF($A$1:$OJ$1,LV$1)&gt;1),1,0)</f>
        <v/>
      </c>
      <c r="LV35">
        <f>IF(AND(LV$1="DATE",ISNUMBER(LW$1),COUNTIF($A$1:$OJ$1,LW$1)&gt;1),1,0)</f>
        <v/>
      </c>
      <c r="LW35">
        <f>IF(AND(LW$1="DATE",ISNUMBER(LX$1),COUNTIF($A$1:$OJ$1,LX$1)&gt;1),1,0)</f>
        <v/>
      </c>
      <c r="LX35">
        <f>IF(AND(LX$1="DATE",ISNUMBER(LY$1),COUNTIF($A$1:$OJ$1,LY$1)&gt;1),1,0)</f>
        <v/>
      </c>
      <c r="LY35">
        <f>IF(AND(LY$1="DATE",ISNUMBER(LZ$1),COUNTIF($A$1:$OJ$1,LZ$1)&gt;1),1,0)</f>
        <v/>
      </c>
      <c r="LZ35">
        <f>IF(AND(LZ$1="DATE",ISNUMBER(MA$1),COUNTIF($A$1:$OJ$1,MA$1)&gt;1),1,0)</f>
        <v/>
      </c>
      <c r="MA35">
        <f>IF(AND(MA$1="DATE",ISNUMBER(MB$1),COUNTIF($A$1:$OJ$1,MB$1)&gt;1),1,0)</f>
        <v/>
      </c>
      <c r="MB35">
        <f>IF(AND(MB$1="DATE",ISNUMBER(MC$1),COUNTIF($A$1:$OJ$1,MC$1)&gt;1),1,0)</f>
        <v/>
      </c>
      <c r="MC35">
        <f>IF(AND(MC$1="DATE",ISNUMBER(MD$1),COUNTIF($A$1:$OJ$1,MD$1)&gt;1),1,0)</f>
        <v/>
      </c>
      <c r="MD35">
        <f>IF(AND(MD$1="DATE",ISNUMBER(ME$1),COUNTIF($A$1:$OJ$1,ME$1)&gt;1),1,0)</f>
        <v/>
      </c>
      <c r="ME35">
        <f>IF(AND(ME$1="DATE",ISNUMBER(MF$1),COUNTIF($A$1:$OJ$1,MF$1)&gt;1),1,0)</f>
        <v/>
      </c>
      <c r="MF35">
        <f>IF(AND(MF$1="DATE",ISNUMBER(MG$1),COUNTIF($A$1:$OJ$1,MG$1)&gt;1),1,0)</f>
        <v/>
      </c>
      <c r="MG35">
        <f>IF(AND(MG$1="DATE",ISNUMBER(MH$1),COUNTIF($A$1:$OJ$1,MH$1)&gt;1),1,0)</f>
        <v/>
      </c>
      <c r="MH35">
        <f>IF(AND(MH$1="DATE",ISNUMBER(MI$1),COUNTIF($A$1:$OJ$1,MI$1)&gt;1),1,0)</f>
        <v/>
      </c>
      <c r="MI35">
        <f>IF(AND(MI$1="DATE",ISNUMBER(MJ$1),COUNTIF($A$1:$OJ$1,MJ$1)&gt;1),1,0)</f>
        <v/>
      </c>
      <c r="MJ35">
        <f>IF(AND(MJ$1="DATE",ISNUMBER(MK$1),COUNTIF($A$1:$OJ$1,MK$1)&gt;1),1,0)</f>
        <v/>
      </c>
      <c r="MK35">
        <f>IF(AND(MK$1="DATE",ISNUMBER(ML$1),COUNTIF($A$1:$OJ$1,ML$1)&gt;1),1,0)</f>
        <v/>
      </c>
      <c r="ML35">
        <f>IF(AND(ML$1="DATE",ISNUMBER(MM$1),COUNTIF($A$1:$OJ$1,MM$1)&gt;1),1,0)</f>
        <v/>
      </c>
      <c r="MM35">
        <f>IF(AND(MM$1="DATE",ISNUMBER(MN$1),COUNTIF($A$1:$OJ$1,MN$1)&gt;1),1,0)</f>
        <v/>
      </c>
      <c r="MN35">
        <f>IF(AND(MN$1="DATE",ISNUMBER(MO$1),COUNTIF($A$1:$OJ$1,MO$1)&gt;1),1,0)</f>
        <v/>
      </c>
      <c r="MO35">
        <f>IF(AND(MO$1="DATE",ISNUMBER(MP$1),COUNTIF($A$1:$OJ$1,MP$1)&gt;1),1,0)</f>
        <v/>
      </c>
      <c r="MP35">
        <f>IF(AND(MP$1="DATE",ISNUMBER(MQ$1),COUNTIF($A$1:$OJ$1,MQ$1)&gt;1),1,0)</f>
        <v/>
      </c>
      <c r="MQ35">
        <f>IF(AND(MQ$1="DATE",ISNUMBER(MR$1),COUNTIF($A$1:$OJ$1,MR$1)&gt;1),1,0)</f>
        <v/>
      </c>
      <c r="MR35">
        <f>IF(AND(MR$1="DATE",ISNUMBER(MS$1),COUNTIF($A$1:$OJ$1,MS$1)&gt;1),1,0)</f>
        <v/>
      </c>
      <c r="MS35">
        <f>IF(AND(MS$1="DATE",ISNUMBER(MT$1),COUNTIF($A$1:$OJ$1,MT$1)&gt;1),1,0)</f>
        <v/>
      </c>
      <c r="MT35">
        <f>IF(AND(MT$1="DATE",ISNUMBER(MU$1),COUNTIF($A$1:$OJ$1,MU$1)&gt;1),1,0)</f>
        <v/>
      </c>
      <c r="MU35">
        <f>IF(AND(MU$1="DATE",ISNUMBER(MV$1),COUNTIF($A$1:$OJ$1,MV$1)&gt;1),1,0)</f>
        <v/>
      </c>
      <c r="MV35">
        <f>IF(AND(MV$1="DATE",ISNUMBER(MW$1),COUNTIF($A$1:$OJ$1,MW$1)&gt;1),1,0)</f>
        <v/>
      </c>
      <c r="MW35">
        <f>IF(AND(MW$1="DATE",ISNUMBER(MX$1),COUNTIF($A$1:$OJ$1,MX$1)&gt;1),1,0)</f>
        <v/>
      </c>
      <c r="MX35">
        <f>IF(AND(MX$1="DATE",ISNUMBER(MY$1),COUNTIF($A$1:$OJ$1,MY$1)&gt;1),1,0)</f>
        <v/>
      </c>
      <c r="MY35">
        <f>IF(AND(MY$1="DATE",ISNUMBER(MZ$1),COUNTIF($A$1:$OJ$1,MZ$1)&gt;1),1,0)</f>
        <v/>
      </c>
      <c r="MZ35">
        <f>IF(AND(MZ$1="DATE",ISNUMBER(NA$1),COUNTIF($A$1:$OJ$1,NA$1)&gt;1),1,0)</f>
        <v/>
      </c>
      <c r="NA35">
        <f>IF(AND(NA$1="DATE",ISNUMBER(NB$1),COUNTIF($A$1:$OJ$1,NB$1)&gt;1),1,0)</f>
        <v/>
      </c>
      <c r="NB35">
        <f>IF(AND(NB$1="DATE",ISNUMBER(NC$1),COUNTIF($A$1:$OJ$1,NC$1)&gt;1),1,0)</f>
        <v/>
      </c>
      <c r="NC35">
        <f>IF(AND(NC$1="DATE",ISNUMBER(ND$1),COUNTIF($A$1:$OJ$1,ND$1)&gt;1),1,0)</f>
        <v/>
      </c>
      <c r="ND35">
        <f>IF(AND(ND$1="DATE",ISNUMBER(NE$1),COUNTIF($A$1:$OJ$1,NE$1)&gt;1),1,0)</f>
        <v/>
      </c>
      <c r="NE35">
        <f>IF(AND(NE$1="DATE",ISNUMBER(NF$1),COUNTIF($A$1:$OJ$1,NF$1)&gt;1),1,0)</f>
        <v/>
      </c>
      <c r="NF35">
        <f>IF(AND(NF$1="DATE",ISNUMBER(NG$1),COUNTIF($A$1:$OJ$1,NG$1)&gt;1),1,0)</f>
        <v/>
      </c>
      <c r="NG35">
        <f>IF(AND(NG$1="DATE",ISNUMBER(NH$1),COUNTIF($A$1:$OJ$1,NH$1)&gt;1),1,0)</f>
        <v/>
      </c>
      <c r="NH35">
        <f>IF(AND(NH$1="DATE",ISNUMBER(NI$1),COUNTIF($A$1:$OJ$1,NI$1)&gt;1),1,0)</f>
        <v/>
      </c>
      <c r="NI35">
        <f>IF(AND(NI$1="DATE",ISNUMBER(NJ$1),COUNTIF($A$1:$OJ$1,NJ$1)&gt;1),1,0)</f>
        <v/>
      </c>
      <c r="NJ35">
        <f>IF(AND(NJ$1="DATE",ISNUMBER(NK$1),COUNTIF($A$1:$OJ$1,NK$1)&gt;1),1,0)</f>
        <v/>
      </c>
      <c r="NK35">
        <f>IF(AND(NK$1="DATE",ISNUMBER(NL$1),COUNTIF($A$1:$OJ$1,NL$1)&gt;1),1,0)</f>
        <v/>
      </c>
      <c r="NL35">
        <f>IF(AND(NL$1="DATE",ISNUMBER(NM$1),COUNTIF($A$1:$OJ$1,NM$1)&gt;1),1,0)</f>
        <v/>
      </c>
      <c r="NM35">
        <f>IF(AND(NM$1="DATE",ISNUMBER(NN$1),COUNTIF($A$1:$OJ$1,NN$1)&gt;1),1,0)</f>
        <v/>
      </c>
      <c r="NN35">
        <f>IF(AND(NN$1="DATE",ISNUMBER(NO$1),COUNTIF($A$1:$OJ$1,NO$1)&gt;1),1,0)</f>
        <v/>
      </c>
      <c r="NO35">
        <f>IF(AND(NO$1="DATE",ISNUMBER(NP$1),COUNTIF($A$1:$OJ$1,NP$1)&gt;1),1,0)</f>
        <v/>
      </c>
      <c r="NP35">
        <f>IF(AND(NP$1="DATE",ISNUMBER(NQ$1),COUNTIF($A$1:$OJ$1,NQ$1)&gt;1),1,0)</f>
        <v/>
      </c>
      <c r="NQ35">
        <f>IF(AND(NQ$1="DATE",ISNUMBER(NR$1),COUNTIF($A$1:$OJ$1,NR$1)&gt;1),1,0)</f>
        <v/>
      </c>
      <c r="NR35">
        <f>IF(AND(NR$1="DATE",ISNUMBER(NS$1),COUNTIF($A$1:$OJ$1,NS$1)&gt;1),1,0)</f>
        <v/>
      </c>
      <c r="NS35">
        <f>IF(AND(NS$1="DATE",ISNUMBER(NT$1),COUNTIF($A$1:$OJ$1,NT$1)&gt;1),1,0)</f>
        <v/>
      </c>
      <c r="NT35">
        <f>IF(AND(NT$1="DATE",ISNUMBER(NU$1),COUNTIF($A$1:$OJ$1,NU$1)&gt;1),1,0)</f>
        <v/>
      </c>
      <c r="NU35">
        <f>IF(AND(NU$1="DATE",ISNUMBER(NV$1),COUNTIF($A$1:$OJ$1,NV$1)&gt;1),1,0)</f>
        <v/>
      </c>
      <c r="NV35">
        <f>IF(AND(NV$1="DATE",ISNUMBER(NW$1),COUNTIF($A$1:$OJ$1,NW$1)&gt;1),1,0)</f>
        <v/>
      </c>
      <c r="NW35">
        <f>IF(AND(NW$1="DATE",ISNUMBER(NX$1),COUNTIF($A$1:$OJ$1,NX$1)&gt;1),1,0)</f>
        <v/>
      </c>
      <c r="NX35">
        <f>IF(AND(NX$1="DATE",ISNUMBER(NY$1),COUNTIF($A$1:$OJ$1,NY$1)&gt;1),1,0)</f>
        <v/>
      </c>
      <c r="NY35">
        <f>IF(AND(NY$1="DATE",ISNUMBER(NZ$1),COUNTIF($A$1:$OJ$1,NZ$1)&gt;1),1,0)</f>
        <v/>
      </c>
      <c r="NZ35">
        <f>IF(AND(NZ$1="DATE",ISNUMBER(OA$1),COUNTIF($A$1:$OJ$1,OA$1)&gt;1),1,0)</f>
        <v/>
      </c>
      <c r="OA35">
        <f>IF(AND(OA$1="DATE",ISNUMBER(OB$1),COUNTIF($A$1:$OJ$1,OB$1)&gt;1),1,0)</f>
        <v/>
      </c>
      <c r="OB35">
        <f>IF(AND(OB$1="DATE",ISNUMBER(OC$1),COUNTIF($A$1:$OJ$1,OC$1)&gt;1),1,0)</f>
        <v/>
      </c>
      <c r="OC35">
        <f>IF(AND(OC$1="DATE",ISNUMBER(OD$1),COUNTIF($A$1:$OJ$1,OD$1)&gt;1),1,0)</f>
        <v/>
      </c>
      <c r="OD35">
        <f>IF(AND(OD$1="DATE",ISNUMBER(OE$1),COUNTIF($A$1:$OJ$1,OE$1)&gt;1),1,0)</f>
        <v/>
      </c>
      <c r="OE35">
        <f>IF(AND(OE$1="DATE",ISNUMBER(OF$1),COUNTIF($A$1:$OJ$1,OF$1)&gt;1),1,0)</f>
        <v/>
      </c>
      <c r="OF35">
        <f>IF(AND(OF$1="DATE",ISNUMBER(OG$1),COUNTIF($A$1:$OJ$1,OG$1)&gt;1),1,0)</f>
        <v/>
      </c>
      <c r="OG35">
        <f>IF(AND(OG$1="DATE",ISNUMBER(OH$1),COUNTIF($A$1:$OJ$1,OH$1)&gt;1),1,0)</f>
        <v/>
      </c>
      <c r="OH35">
        <f>IF(AND(OH$1="DATE",ISNUMBER(OI$1),COUNTIF($A$1:$OJ$1,OI$1)&gt;1),1,0)</f>
        <v/>
      </c>
      <c r="OI35">
        <f>IF(AND(OI$1="DATE",ISNUMBER(OJ$1),COUNTIF($A$1:$OJ$1,OJ$1)&gt;1),1,0)</f>
        <v/>
      </c>
      <c r="OJ35">
        <f>IF(AND(OJ$1="DATE",ISNUMBER(OK$1),COUNTIF($A$1:$OJ$1,OK$1)&gt;1),1,0)</f>
        <v/>
      </c>
    </row>
  </sheetData>
  <sheetProtection selectLockedCells="0" selectUnlockedCells="0" sheet="1" objects="0" insertRows="1" insertHyperlinks="1" autoFilter="1" scenarios="0" formatColumns="0" deleteColumns="1" insertColumns="1" pivotTables="1" deleteRows="1" formatCells="0" formatRows="0" sort="1"/>
  <mergeCells count="531">
    <mergeCell ref="KA15:KB15"/>
    <mergeCell ref="DZ8:EA8"/>
    <mergeCell ref="HP1:HQ1"/>
    <mergeCell ref="DT8:DU8"/>
    <mergeCell ref="KC8:KD8"/>
    <mergeCell ref="CK15:CL15"/>
    <mergeCell ref="AT3:AU3"/>
    <mergeCell ref="HY1:HZ1"/>
    <mergeCell ref="HX8:HY8"/>
    <mergeCell ref="FT1:FU1"/>
    <mergeCell ref="IN15:IO15"/>
    <mergeCell ref="AO15:AP15"/>
    <mergeCell ref="BG1:BH1"/>
    <mergeCell ref="A20:F20"/>
    <mergeCell ref="B1:C1"/>
    <mergeCell ref="ES15:ET15"/>
    <mergeCell ref="JZ13:KA13"/>
    <mergeCell ref="AQ8:AR8"/>
    <mergeCell ref="HU13:HV13"/>
    <mergeCell ref="AF15:AG15"/>
    <mergeCell ref="JX15:JY15"/>
    <mergeCell ref="EU8:EV8"/>
    <mergeCell ref="IK1:IL1"/>
    <mergeCell ref="CQ1:CR1"/>
    <mergeCell ref="IT1:IU1"/>
    <mergeCell ref="GU1:GV1"/>
    <mergeCell ref="CY8:CZ8"/>
    <mergeCell ref="GO1:GP1"/>
    <mergeCell ref="CA8:CB8"/>
    <mergeCell ref="BJ15:BK15"/>
    <mergeCell ref="CB1:CC1"/>
    <mergeCell ref="ID8:IE8"/>
    <mergeCell ref="FY8:FZ8"/>
    <mergeCell ref="KU13:KV13"/>
    <mergeCell ref="HX3:HY3"/>
    <mergeCell ref="BL8:BM8"/>
    <mergeCell ref="CV13:CW13"/>
    <mergeCell ref="CY3:CZ3"/>
    <mergeCell ref="H1:I1"/>
    <mergeCell ref="KS15:KT15"/>
    <mergeCell ref="EY15:EZ15"/>
    <mergeCell ref="IY13:IZ13"/>
    <mergeCell ref="V8:W8"/>
    <mergeCell ref="GZ13:HA13"/>
    <mergeCell ref="CT15:CU15"/>
    <mergeCell ref="DL1:DM1"/>
    <mergeCell ref="BI13:BJ13"/>
    <mergeCell ref="GR15:GS15"/>
    <mergeCell ref="CV8:CW8"/>
    <mergeCell ref="EF13:EG13"/>
    <mergeCell ref="CE15:CF15"/>
    <mergeCell ref="S13:T13"/>
    <mergeCell ref="KI13:KJ13"/>
    <mergeCell ref="KX3:KY3"/>
    <mergeCell ref="M13:N13"/>
    <mergeCell ref="ID13:IE13"/>
    <mergeCell ref="Q15:R15"/>
    <mergeCell ref="DQ13:DR13"/>
    <mergeCell ref="HU3:HV3"/>
    <mergeCell ref="FD8:FE8"/>
    <mergeCell ref="AC1:AD1"/>
    <mergeCell ref="FT15:FU15"/>
    <mergeCell ref="DO15:DP15"/>
    <mergeCell ref="IV13:IW13"/>
    <mergeCell ref="FY3:FZ3"/>
    <mergeCell ref="KU8:KV8"/>
    <mergeCell ref="B15:C15"/>
    <mergeCell ref="BL3:BM3"/>
    <mergeCell ref="HF13:HG13"/>
    <mergeCell ref="DQ8:DR8"/>
    <mergeCell ref="FA13:FB13"/>
    <mergeCell ref="FP3:FQ3"/>
    <mergeCell ref="AN13:AO13"/>
    <mergeCell ref="Y3:Z3"/>
    <mergeCell ref="AL15:AM15"/>
    <mergeCell ref="DN13:DO13"/>
    <mergeCell ref="GO15:GP15"/>
    <mergeCell ref="IY3:IZ3"/>
    <mergeCell ref="EJ15:EK15"/>
    <mergeCell ref="GT3:GU3"/>
    <mergeCell ref="BX13:BY13"/>
    <mergeCell ref="BR13:BS13"/>
    <mergeCell ref="CG3:CH3"/>
    <mergeCell ref="IA13:IB13"/>
    <mergeCell ref="HG1:HH1"/>
    <mergeCell ref="FV13:FW13"/>
    <mergeCell ref="CH1:CI1"/>
    <mergeCell ref="BG15:BH15"/>
    <mergeCell ref="CD8:CE8"/>
    <mergeCell ref="DQ3:DR3"/>
    <mergeCell ref="DK3:DL3"/>
    <mergeCell ref="D3:E3"/>
    <mergeCell ref="JT3:JU3"/>
    <mergeCell ref="HO3:HP3"/>
    <mergeCell ref="CS13:CT13"/>
    <mergeCell ref="JO15:JP15"/>
    <mergeCell ref="CD3:CE3"/>
    <mergeCell ref="JQ8:JR8"/>
    <mergeCell ref="AH3:AI3"/>
    <mergeCell ref="HL8:HM8"/>
    <mergeCell ref="BR8:BS8"/>
    <mergeCell ref="EL3:EM3"/>
    <mergeCell ref="AU1:AV1"/>
    <mergeCell ref="J13:K13"/>
    <mergeCell ref="JL1:JM1"/>
    <mergeCell ref="EG15:EH15"/>
    <mergeCell ref="EY1:EZ1"/>
    <mergeCell ref="LA8:LB8"/>
    <mergeCell ref="BR3:BS3"/>
    <mergeCell ref="KJ15:KK15"/>
    <mergeCell ref="LB1:LC1"/>
    <mergeCell ref="EI8:EJ8"/>
    <mergeCell ref="FV3:FW3"/>
    <mergeCell ref="KL8:KM8"/>
    <mergeCell ref="BI3:BJ3"/>
    <mergeCell ref="BC3:BD3"/>
    <mergeCell ref="CM8:CN8"/>
    <mergeCell ref="GC1:GD1"/>
    <mergeCell ref="M3:N3"/>
    <mergeCell ref="GQ8:GR8"/>
    <mergeCell ref="BP1:BQ1"/>
    <mergeCell ref="KG1:KH1"/>
    <mergeCell ref="FB15:FC15"/>
    <mergeCell ref="AZ8:BA8"/>
    <mergeCell ref="CM3:CN3"/>
    <mergeCell ref="J8:K8"/>
    <mergeCell ref="GN13:GO13"/>
    <mergeCell ref="GQ3:GR3"/>
    <mergeCell ref="CZ1:DA1"/>
    <mergeCell ref="IK15:IL15"/>
    <mergeCell ref="GL15:GM15"/>
    <mergeCell ref="DH8:DI8"/>
    <mergeCell ref="HD1:HE1"/>
    <mergeCell ref="BY15:BZ15"/>
    <mergeCell ref="IM8:IN8"/>
    <mergeCell ref="GN8:GO8"/>
    <mergeCell ref="FH1:FI1"/>
    <mergeCell ref="IB15:IC15"/>
    <mergeCell ref="FW15:FX15"/>
    <mergeCell ref="AC15:AD15"/>
    <mergeCell ref="GW8:GX8"/>
    <mergeCell ref="W1:X1"/>
    <mergeCell ref="DE13:DF13"/>
    <mergeCell ref="DH3:DI3"/>
    <mergeCell ref="ER8:ES8"/>
    <mergeCell ref="KM1:KN1"/>
    <mergeCell ref="JN13:JO13"/>
    <mergeCell ref="IH1:II1"/>
    <mergeCell ref="AE8:AF8"/>
    <mergeCell ref="HI13:HJ13"/>
    <mergeCell ref="DU1:DV1"/>
    <mergeCell ref="JL15:JM15"/>
    <mergeCell ref="JF15:JG15"/>
    <mergeCell ref="HG15:HH15"/>
    <mergeCell ref="DE8:DF8"/>
    <mergeCell ref="AB13:AC13"/>
    <mergeCell ref="HI8:HJ8"/>
    <mergeCell ref="BO8:BP8"/>
    <mergeCell ref="IS13:IT13"/>
    <mergeCell ref="KR13:KS13"/>
    <mergeCell ref="FE1:FF1"/>
    <mergeCell ref="IM13:IN13"/>
    <mergeCell ref="AX15:AY15"/>
    <mergeCell ref="HR8:HS8"/>
    <mergeCell ref="Z15:AA15"/>
    <mergeCell ref="AR1:AS1"/>
    <mergeCell ref="DZ13:EA13"/>
    <mergeCell ref="FM8:FN8"/>
    <mergeCell ref="GW13:GX13"/>
    <mergeCell ref="ED15:EE15"/>
    <mergeCell ref="CJ13:CK13"/>
    <mergeCell ref="DX15:DY15"/>
    <mergeCell ref="HM1:HN1"/>
    <mergeCell ref="KG15:KH15"/>
    <mergeCell ref="K15:L15"/>
    <mergeCell ref="BU3:BV3"/>
    <mergeCell ref="CH15:CI15"/>
    <mergeCell ref="KL3:KM3"/>
    <mergeCell ref="CT1:CU1"/>
    <mergeCell ref="FJ13:FK13"/>
    <mergeCell ref="BV1:BW1"/>
    <mergeCell ref="AW13:AX13"/>
    <mergeCell ref="CJ8:CK8"/>
    <mergeCell ref="FH15:FI15"/>
    <mergeCell ref="FZ1:GA1"/>
    <mergeCell ref="JW13:JX13"/>
    <mergeCell ref="AU15:AV15"/>
    <mergeCell ref="BM1:BN1"/>
    <mergeCell ref="HR13:HS13"/>
    <mergeCell ref="GX15:GY15"/>
    <mergeCell ref="JH3:JI3"/>
    <mergeCell ref="Q1:R1"/>
    <mergeCell ref="CG13:CH13"/>
    <mergeCell ref="HC3:HD3"/>
    <mergeCell ref="CP3:CQ3"/>
    <mergeCell ref="DC15:DD15"/>
    <mergeCell ref="IJ13:IK13"/>
    <mergeCell ref="A8:B8"/>
    <mergeCell ref="GE13:GF13"/>
    <mergeCell ref="KR3:KS3"/>
    <mergeCell ref="EO13:EP13"/>
    <mergeCell ref="GC15:GD15"/>
    <mergeCell ref="BA1:BB1"/>
    <mergeCell ref="BP15:BQ15"/>
    <mergeCell ref="DZ3:EA3"/>
    <mergeCell ref="EM15:EN15"/>
    <mergeCell ref="HO13:HP13"/>
    <mergeCell ref="KC3:KD3"/>
    <mergeCell ref="T15:U15"/>
    <mergeCell ref="DB13:DC13"/>
    <mergeCell ref="JE13:JF13"/>
    <mergeCell ref="GH3:GI3"/>
    <mergeCell ref="BF13:BG13"/>
    <mergeCell ref="AW3:AX3"/>
    <mergeCell ref="AQ3:AR3"/>
    <mergeCell ref="HU8:HV8"/>
    <mergeCell ref="GK13:GL13"/>
    <mergeCell ref="EU3:EV3"/>
    <mergeCell ref="A3:B3"/>
    <mergeCell ref="GE8:GF8"/>
    <mergeCell ref="JU1:JV1"/>
    <mergeCell ref="BF8:BG8"/>
    <mergeCell ref="DW13:DX13"/>
    <mergeCell ref="GT13:GU13"/>
    <mergeCell ref="ID3:IE3"/>
    <mergeCell ref="GE3:GF3"/>
    <mergeCell ref="CA13:CB13"/>
    <mergeCell ref="BC13:BD13"/>
    <mergeCell ref="GR1:GS1"/>
    <mergeCell ref="V3:W3"/>
    <mergeCell ref="GZ8:HA8"/>
    <mergeCell ref="IM3:IN3"/>
    <mergeCell ref="BY1:BZ1"/>
    <mergeCell ref="KP1:KQ1"/>
    <mergeCell ref="EV1:EW1"/>
    <mergeCell ref="DK13:DL13"/>
    <mergeCell ref="FK15:FL15"/>
    <mergeCell ref="AI1:AJ1"/>
    <mergeCell ref="KY1:KZ1"/>
    <mergeCell ref="CV3:CW3"/>
    <mergeCell ref="JZ8:KA8"/>
    <mergeCell ref="A21:F21"/>
    <mergeCell ref="S8:T8"/>
    <mergeCell ref="GZ3:HA3"/>
    <mergeCell ref="BF3:BG3"/>
    <mergeCell ref="IJ8:IK8"/>
    <mergeCell ref="KI8:KJ8"/>
    <mergeCell ref="DW8:DX8"/>
    <mergeCell ref="FD3:FE3"/>
    <mergeCell ref="N1:O1"/>
    <mergeCell ref="FQ1:FR1"/>
    <mergeCell ref="KI3:KJ3"/>
    <mergeCell ref="BD1:BE1"/>
    <mergeCell ref="KV1:KW1"/>
    <mergeCell ref="IW1:IX1"/>
    <mergeCell ref="FA8:FB8"/>
    <mergeCell ref="EP15:EQ15"/>
    <mergeCell ref="AN8:AO8"/>
    <mergeCell ref="CA3:CB3"/>
    <mergeCell ref="JE8:JF8"/>
    <mergeCell ref="ED1:EE1"/>
    <mergeCell ref="HA1:HB1"/>
    <mergeCell ref="JU15:JV15"/>
    <mergeCell ref="HP15:HQ15"/>
    <mergeCell ref="BV15:BW15"/>
    <mergeCell ref="CN1:CO1"/>
    <mergeCell ref="FA3:FB3"/>
    <mergeCell ref="HY15:HZ15"/>
    <mergeCell ref="AN3:AO3"/>
    <mergeCell ref="GL1:GM1"/>
    <mergeCell ref="BX8:BY8"/>
    <mergeCell ref="JB13:JC13"/>
    <mergeCell ref="GB8:GC8"/>
    <mergeCell ref="JK13:JL13"/>
    <mergeCell ref="FV8:FW8"/>
    <mergeCell ref="BI8:BJ8"/>
    <mergeCell ref="KA1:KB1"/>
    <mergeCell ref="EF8:EG8"/>
    <mergeCell ref="E1:F1"/>
    <mergeCell ref="HV1:HW1"/>
    <mergeCell ref="KP15:KQ15"/>
    <mergeCell ref="CQ15:CR15"/>
    <mergeCell ref="DI1:DJ1"/>
    <mergeCell ref="JK8:JL8"/>
    <mergeCell ref="KU3:KV3"/>
    <mergeCell ref="HF8:HG8"/>
    <mergeCell ref="IT15:IU15"/>
    <mergeCell ref="GU15:GV15"/>
    <mergeCell ref="CS8:CT8"/>
    <mergeCell ref="GI1:GJ1"/>
    <mergeCell ref="AO1:AP1"/>
    <mergeCell ref="IV8:IW8"/>
    <mergeCell ref="P13:Q13"/>
    <mergeCell ref="KF13:KG13"/>
    <mergeCell ref="A17:B17"/>
    <mergeCell ref="BD15:BE15"/>
    <mergeCell ref="EA15:EB15"/>
    <mergeCell ref="ES1:ET1"/>
    <mergeCell ref="EM1:EN1"/>
    <mergeCell ref="N15:O15"/>
    <mergeCell ref="AF1:AG1"/>
    <mergeCell ref="KD15:KE15"/>
    <mergeCell ref="H15:I15"/>
    <mergeCell ref="Z1:AA1"/>
    <mergeCell ref="IQ1:IR1"/>
    <mergeCell ref="DL15:DM15"/>
    <mergeCell ref="KF8:KG8"/>
    <mergeCell ref="AT13:AU13"/>
    <mergeCell ref="IA8:IB8"/>
    <mergeCell ref="IQ15:IR15"/>
    <mergeCell ref="DN8:DO8"/>
    <mergeCell ref="EX13:EY13"/>
    <mergeCell ref="GK8:GL8"/>
    <mergeCell ref="BJ1:BK1"/>
    <mergeCell ref="AK13:AL13"/>
    <mergeCell ref="HA15:HB15"/>
    <mergeCell ref="LA13:LB13"/>
    <mergeCell ref="EI3:EJ3"/>
    <mergeCell ref="EV15:EW15"/>
    <mergeCell ref="FN1:FO1"/>
    <mergeCell ref="KC13:KD13"/>
    <mergeCell ref="AT8:AU8"/>
    <mergeCell ref="HX13:HY13"/>
    <mergeCell ref="AI15:AJ15"/>
    <mergeCell ref="KY15:KZ15"/>
    <mergeCell ref="EX8:EY8"/>
    <mergeCell ref="BU13:BV13"/>
    <mergeCell ref="DI15:DJ15"/>
    <mergeCell ref="BO13:BP13"/>
    <mergeCell ref="BS15:BT15"/>
    <mergeCell ref="FS13:FT13"/>
    <mergeCell ref="BM15:BN15"/>
    <mergeCell ref="CE1:CF1"/>
    <mergeCell ref="EU13:EV13"/>
    <mergeCell ref="JQ3:JR3"/>
    <mergeCell ref="HV15:HW15"/>
    <mergeCell ref="J3:K3"/>
    <mergeCell ref="FQ15:FR15"/>
    <mergeCell ref="IA3:IB3"/>
    <mergeCell ref="KX13:KY13"/>
    <mergeCell ref="CY13:CZ13"/>
    <mergeCell ref="DN3:DO3"/>
    <mergeCell ref="JH13:JI13"/>
    <mergeCell ref="FS8:FT8"/>
    <mergeCell ref="Y8:Z8"/>
    <mergeCell ref="HC13:HD13"/>
    <mergeCell ref="DO1:DP1"/>
    <mergeCell ref="IS3:IT3"/>
    <mergeCell ref="CP13:CQ13"/>
    <mergeCell ref="GN3:GO3"/>
    <mergeCell ref="JR1:JS1"/>
    <mergeCell ref="CN15:CO15"/>
    <mergeCell ref="FP13:FQ13"/>
    <mergeCell ref="ER3:ES3"/>
    <mergeCell ref="V13:W13"/>
    <mergeCell ref="LA3:LB3"/>
    <mergeCell ref="AE3:AF3"/>
    <mergeCell ref="IV3:IW3"/>
    <mergeCell ref="DT13:DU13"/>
    <mergeCell ref="G13:H13"/>
    <mergeCell ref="JI1:JJ1"/>
    <mergeCell ref="EJ1:EK1"/>
    <mergeCell ref="JN3:JO3"/>
    <mergeCell ref="KX8:KY8"/>
    <mergeCell ref="E15:F15"/>
    <mergeCell ref="HI3:HJ3"/>
    <mergeCell ref="BO3:BP3"/>
    <mergeCell ref="IS8:IT8"/>
    <mergeCell ref="FD13:FE13"/>
    <mergeCell ref="FS3:FT3"/>
    <mergeCell ref="FM3:FN3"/>
    <mergeCell ref="AQ13:AR13"/>
    <mergeCell ref="AZ3:BA3"/>
    <mergeCell ref="KD1:KE1"/>
    <mergeCell ref="FP8:FQ8"/>
    <mergeCell ref="GW3:GX3"/>
    <mergeCell ref="AW8:AX8"/>
    <mergeCell ref="CJ3:CK3"/>
    <mergeCell ref="JO1:JP1"/>
    <mergeCell ref="JN8:JO8"/>
    <mergeCell ref="HJ1:HK1"/>
    <mergeCell ref="FY13:FZ13"/>
    <mergeCell ref="G8:H8"/>
    <mergeCell ref="JW8:JX8"/>
    <mergeCell ref="CW1:CX1"/>
    <mergeCell ref="BL13:BM13"/>
    <mergeCell ref="IH15:II15"/>
    <mergeCell ref="GI15:GJ15"/>
    <mergeCell ref="DT3:DU3"/>
    <mergeCell ref="G3:H3"/>
    <mergeCell ref="JT13:JU13"/>
    <mergeCell ref="JW3:JX3"/>
    <mergeCell ref="EG1:EH1"/>
    <mergeCell ref="HR3:HS3"/>
    <mergeCell ref="T1:U1"/>
    <mergeCell ref="DE3:DF3"/>
    <mergeCell ref="KJ1:KK1"/>
    <mergeCell ref="EO8:EP8"/>
    <mergeCell ref="IE1:IF1"/>
    <mergeCell ref="AB8:AC8"/>
    <mergeCell ref="KR8:KS8"/>
    <mergeCell ref="CZ15:DA15"/>
    <mergeCell ref="D8:E8"/>
    <mergeCell ref="DR1:DS1"/>
    <mergeCell ref="JT8:JU8"/>
    <mergeCell ref="JI15:JJ15"/>
    <mergeCell ref="HO8:HP8"/>
    <mergeCell ref="JC15:JD15"/>
    <mergeCell ref="HD15:HE15"/>
    <mergeCell ref="DB8:DC8"/>
    <mergeCell ref="EL13:EM13"/>
    <mergeCell ref="EO3:EP3"/>
    <mergeCell ref="HM15:HN15"/>
    <mergeCell ref="AB3:AC3"/>
    <mergeCell ref="KO13:KP13"/>
    <mergeCell ref="FB1:FC1"/>
    <mergeCell ref="W15:X15"/>
    <mergeCell ref="KM15:KN15"/>
    <mergeCell ref="FJ8:FK8"/>
    <mergeCell ref="IZ1:JA1"/>
    <mergeCell ref="EL8:EM8"/>
    <mergeCell ref="DU15:DV15"/>
    <mergeCell ref="KO8:KP8"/>
    <mergeCell ref="D13:E13"/>
    <mergeCell ref="IY8:IZ8"/>
    <mergeCell ref="FG13:FH13"/>
    <mergeCell ref="FJ3:FK3"/>
    <mergeCell ref="GT8:GU8"/>
    <mergeCell ref="BS1:BT1"/>
    <mergeCell ref="HJ15:HK15"/>
    <mergeCell ref="CG8:CH8"/>
    <mergeCell ref="FE15:FF15"/>
    <mergeCell ref="FW1:FX1"/>
    <mergeCell ref="AR15:AS15"/>
    <mergeCell ref="DB3:DC3"/>
    <mergeCell ref="FG8:FH8"/>
    <mergeCell ref="EA1:EB1"/>
    <mergeCell ref="M8:N8"/>
    <mergeCell ref="GQ13:GR13"/>
    <mergeCell ref="A22:B22"/>
    <mergeCell ref="JR15:JS15"/>
    <mergeCell ref="CD13:CE13"/>
    <mergeCell ref="JF1:JG1"/>
    <mergeCell ref="DK8:DL8"/>
    <mergeCell ref="CB15:CC15"/>
    <mergeCell ref="GB13:GC13"/>
    <mergeCell ref="AH13:AI13"/>
    <mergeCell ref="IE15:IF15"/>
    <mergeCell ref="KO3:KP3"/>
    <mergeCell ref="FZ15:GA15"/>
    <mergeCell ref="AX1:AY1"/>
    <mergeCell ref="IJ3:IK3"/>
    <mergeCell ref="DW3:DX3"/>
    <mergeCell ref="A18:F18"/>
    <mergeCell ref="JQ13:JR13"/>
    <mergeCell ref="AH8:AI8"/>
    <mergeCell ref="HL13:HM13"/>
    <mergeCell ref="DX1:DY1"/>
    <mergeCell ref="K1:L1"/>
    <mergeCell ref="IB1:IC1"/>
    <mergeCell ref="CW15:CX15"/>
    <mergeCell ref="FG3:FH3"/>
    <mergeCell ref="GF1:GG1"/>
    <mergeCell ref="IZ15:JA15"/>
    <mergeCell ref="BA15:BB15"/>
    <mergeCell ref="EI13:EJ13"/>
    <mergeCell ref="JE3:JF3"/>
    <mergeCell ref="EC13:ED13"/>
    <mergeCell ref="KL13:KM13"/>
    <mergeCell ref="GF15:GG15"/>
    <mergeCell ref="BC8:BD8"/>
    <mergeCell ref="IG13:IH13"/>
    <mergeCell ref="CM13:CN13"/>
    <mergeCell ref="IP13:IQ13"/>
    <mergeCell ref="BX3:BY3"/>
    <mergeCell ref="DC1:DD1"/>
    <mergeCell ref="DR15:DS15"/>
    <mergeCell ref="GB3:GC3"/>
    <mergeCell ref="AZ13:BA13"/>
    <mergeCell ref="JZ3:KA3"/>
    <mergeCell ref="EF3:EG3"/>
    <mergeCell ref="IP8:IQ8"/>
    <mergeCell ref="S3:T3"/>
    <mergeCell ref="JK3:JL3"/>
    <mergeCell ref="HL3:HM3"/>
    <mergeCell ref="DH13:DI13"/>
    <mergeCell ref="HF3:HG3"/>
    <mergeCell ref="CS3:CT3"/>
    <mergeCell ref="DF15:DG15"/>
    <mergeCell ref="EC8:ED8"/>
    <mergeCell ref="GH13:GI13"/>
    <mergeCell ref="IG8:IH8"/>
    <mergeCell ref="DF1:DG1"/>
    <mergeCell ref="A19:F19"/>
    <mergeCell ref="IW15:IX15"/>
    <mergeCell ref="ER13:ES13"/>
    <mergeCell ref="AE13:AF13"/>
    <mergeCell ref="EC3:ED3"/>
    <mergeCell ref="Y13:Z13"/>
    <mergeCell ref="P3:Q3"/>
    <mergeCell ref="KF3:KG3"/>
    <mergeCell ref="IG3:IH3"/>
    <mergeCell ref="IP3:IQ3"/>
    <mergeCell ref="KS1:KT1"/>
    <mergeCell ref="GK3:GL3"/>
    <mergeCell ref="IN1:IO1"/>
    <mergeCell ref="JB8:JC8"/>
    <mergeCell ref="GX1:GY1"/>
    <mergeCell ref="FM13:FN13"/>
    <mergeCell ref="CK1:CL1"/>
    <mergeCell ref="EX3:EY3"/>
    <mergeCell ref="GH8:GI8"/>
    <mergeCell ref="AK3:AL3"/>
    <mergeCell ref="BU8:BV8"/>
    <mergeCell ref="JB3:JC3"/>
    <mergeCell ref="FK1:FL1"/>
    <mergeCell ref="P8:Q8"/>
    <mergeCell ref="LB15:LC15"/>
    <mergeCell ref="KV15:KW15"/>
    <mergeCell ref="JX1:JY1"/>
    <mergeCell ref="HS1:HT1"/>
    <mergeCell ref="JH8:JI8"/>
    <mergeCell ref="HC8:HD8"/>
    <mergeCell ref="HS15:HT15"/>
    <mergeCell ref="CP8:CQ8"/>
    <mergeCell ref="FN15:FO15"/>
    <mergeCell ref="AL1:AM1"/>
    <mergeCell ref="AK8:AL8"/>
    <mergeCell ref="A13:B13"/>
    <mergeCell ref="JC1:JD1"/>
    <mergeCell ref="EP1:EQ1"/>
  </mergeCells>
  <conditionalFormatting sqref="A4:OJ5">
    <cfRule type="expression" priority="1" dxfId="3" stopIfTrue="0">
      <formula>AND(A$1="DATE",ISBLANK(A4),INDEX($A$1:$OJ$1,COLUMN()+1)+5&lt;=TODAY())</formula>
    </cfRule>
  </conditionalFormatting>
  <conditionalFormatting sqref="A9:OJ10">
    <cfRule type="expression" priority="2" dxfId="3" stopIfTrue="0">
      <formula>AND(A$1="DATE",ISBLANK(A9),INDEX($A$1:$OJ$1,COLUMN()+1)+5&lt;=TODAY())</formula>
    </cfRule>
  </conditionalFormatting>
  <conditionalFormatting sqref="A1:OJ1">
    <cfRule type="expression" priority="3" dxfId="4" stopIfTrue="1">
      <formula>AND(ISNUMBER(A1),COUNTIF($A$1:$OJ$1,A1)&gt;1)</formula>
    </cfRule>
    <cfRule type="expression" priority="4" dxfId="3" stopIfTrue="0">
      <formula>AND(ISBLANK(A1),COLUMN()&gt;1,INDEX($A$1:$OJ$1,MAX(1,COLUMN()-1))="DATE")</formula>
    </cfRule>
  </conditionalFormatting>
  <dataValidations count="1">
    <dataValidation sqref="A4 A5 A9 A10 D4 D5 D9 D10 G4 G5 G9 G10 J4 J5 J9 J10 M4 M5 M9 M10 P4 P5 P9 P10 S4 S5 S9 S10 V4 V5 V9 V10 Y4 Y5 Y9 Y10 AB4 AB5 AB9 AB10 AE4 AE5 AE9 AE10 AH4 AH5 AH9 AH10 AK4 AK5 AK9 AK10 AN4 AN5 AN9 AN10 AQ4 AQ5 AQ9 AQ10 AT4 AT5 AT9 AT10 AW4 AW5 AW9 AW10 AZ4 AZ5 AZ9 AZ10 BC4 BC5 BC9 BC10 BF4 BF5 BF9 BF10 BI4 BI5 BI9 BI10 BL4 BL5 BL9 BL10 BO4 BO5 BO9 BO10 BR4 BR5 BR9 BR10 BU4 BU5 BU9 BU10 BX4 BX5 BX9 BX10 CA4 CA5 CA9 CA10 CD4 CD5 CD9 CD10 CG4 CG5 CG9 CG10 CJ4 CJ5 CJ9 CJ10 CM4 CM5 CM9 CM10 CP4 CP5 CP9 CP10 CS4 CS5 CS9 CS10 CV4 CV5 CV9 CV10 CY4 CY5 CY9 CY10 DB4 DB5 DB9 DB10 DE4 DE5 DE9 DE10 DH4 DH5 DH9 DH10 DK4 DK5 DK9 DK10 DN4 DN5 DN9 DN10 DQ4 DQ5 DQ9 DQ10 DT4 DT5 DT9 DT10 DW4 DW5 DW9 DW10 DZ4 DZ5 DZ9 DZ10 EC4 EC5 EC9 EC10 EF4 EF5 EF9 EF10 EI4 EI5 EI9 EI10 EL4 EL5 EL9 EL10 EO4 EO5 EO9 EO10 ER4 ER5 ER9 ER10 EU4 EU5 EU9 EU10 EX4 EX5 EX9 EX10 FA4 FA5 FA9 FA10 FD4 FD5 FD9 FD10 FG4 FG5 FG9 FG10 FJ4 FJ5 FJ9 FJ10 FM4 FM5 FM9 FM10 FP4 FP5 FP9 FP10 FS4 FS5 FS9 FS10 FV4 FV5 FV9 FV10 FY4 FY5 FY9 FY10 GB4 GB5 GB9 GB10 GE4 GE5 GE9 GE10 GH4 GH5 GH9 GH10 GK4 GK5 GK9 GK10 GN4 GN5 GN9 GN10 GQ4 GQ5 GQ9 GQ10 GT4 GT5 GT9 GT10 GW4 GW5 GW9 GW10 GZ4 GZ5 GZ9 GZ10 HC4 HC5 HC9 HC10 HF4 HF5 HF9 HF10 HI4 HI5 HI9 HI10 HL4 HL5 HL9 HL10 HO4 HO5 HO9 HO10 HR4 HR5 HR9 HR10 HU4 HU5 HU9 HU10 HX4 HX5 HX9 HX10 IA4 IA5 IA9 IA10 ID4 ID5 ID9 ID10 IG4 IG5 IG9 IG10 IJ4 IJ5 IJ9 IJ10 IM4 IM5 IM9 IM10 IP4 IP5 IP9 IP10 IS4 IS5 IS9 IS10 IV4 IV5 IV9 IV10 IY4 IY5 IY9 IY10 JB4 JB5 JB9 JB10 JE4 JE5 JE9 JE10 JH4 JH5 JH9 JH10 JK4 JK5 JK9 JK10 JN4 JN5 JN9 JN10 JQ4 JQ5 JQ9 JQ10 JT4 JT5 JT9 JT10 JW4 JW5 JW9 JW10 JZ4 JZ5 JZ9 JZ10 KC4 KC5 KC9 KC10 KF4 KF5 KF9 KF10 KI4 KI5 KI9 KI10 KL4 KL5 KL9 KL10 KO4 KO5 KO9 KO10 KR4 KR5 KR9 KR10 KU4 KU5 KU9 KU10 KX4 KX5 KX9 KX10 LA4 LA5 LA9 LA10" showDropDown="0" showInputMessage="0" showErrorMessage="1" allowBlank="1" errorTitle="Counts only" error="Enter a whole number of open work orders (0 or more). Leave it blank if the report was not pulled that week." prompt="Open work orders counted this week" type="whole" operator="greaterThanOrEqual">
      <formula1>0</formula1>
    </dataValidation>
  </dataValidations>
  <pageMargins left="0.75" right="0.75" top="1" bottom="1" header="0.5" footer="0.5"/>
  <pageSetup orientation="landscape"/>
</worksheet>
</file>

<file path=xl/worksheets/sheet3.xml><?xml version="1.0" encoding="utf-8"?>
<worksheet xmlns="http://schemas.openxmlformats.org/spreadsheetml/2006/main">
  <sheetPr>
    <tabColor rgb="FF9A9A93"/>
    <outlinePr summaryBelow="1" summaryRight="1"/>
    <pageSetUpPr fitToPage="1"/>
  </sheetPr>
  <dimension ref="B2:C66"/>
  <sheetViews>
    <sheetView showGridLines="0" workbookViewId="0">
      <selection activeCell="A1" sqref="A1"/>
    </sheetView>
  </sheetViews>
  <sheetFormatPr baseColWidth="8" defaultRowHeight="15"/>
  <cols>
    <col width="3" customWidth="1" min="1" max="1"/>
    <col width="34" customWidth="1" min="2" max="2"/>
    <col width="62" customWidth="1" min="3" max="3"/>
    <col width="3" customWidth="1" min="4" max="4"/>
  </cols>
  <sheetData>
    <row r="2" ht="28" customHeight="1">
      <c r="B2" s="43" t="inlineStr">
        <is>
          <t>OPEN WORK ORDERS TRACKER — READ ME</t>
        </is>
      </c>
    </row>
    <row r="4" ht="22" customHeight="1">
      <c r="B4" s="18" t="inlineStr">
        <is>
          <t>WHAT THIS FILE IS</t>
        </is>
      </c>
      <c r="C4" s="18" t="n"/>
    </row>
    <row r="5" ht="30" customHeight="1">
      <c r="B5" s="44" t="inlineStr">
        <is>
          <t>One row per week showing how many work orders are open at Burnsville and at Lakeville, split into repair tickets and PMs. It answers the standing question: is the backlog growing or shrinking?</t>
        </is>
      </c>
    </row>
    <row r="6" ht="45" customHeight="1">
      <c r="B6" s="44" t="inlineStr">
        <is>
          <t>You type four numbers a week, on the Totals tab. Everything else — totals, the change since the last entry, the charts, the scorecard and the email text — is calculated. The History tab is the one you send.</t>
        </is>
      </c>
    </row>
    <row r="7" ht="8" customHeight="1"/>
    <row r="8" ht="22" customHeight="1">
      <c r="B8" s="18" t="inlineStr">
        <is>
          <t>THE WEEKLY ROUTINE</t>
        </is>
      </c>
      <c r="C8" s="18" t="n"/>
    </row>
    <row r="9" ht="15" customHeight="1">
      <c r="B9" s="45" t="inlineStr">
        <is>
          <t>Step 1</t>
        </is>
      </c>
      <c r="C9" s="44" t="inlineStr">
        <is>
          <t>Pull the open work order counts for both plants.</t>
        </is>
      </c>
    </row>
    <row r="10" ht="30" customHeight="1">
      <c r="B10" s="45" t="inlineStr">
        <is>
          <t>Step 2</t>
        </is>
      </c>
      <c r="C10" s="44" t="inlineStr">
        <is>
          <t>Open the Totals tab. The link under the grid jumps to the block whose date is this week.</t>
        </is>
      </c>
    </row>
    <row r="11" ht="60" customHeight="1">
      <c r="B11" s="45" t="inlineStr">
        <is>
          <t>Step 3</t>
        </is>
      </c>
      <c r="C11" s="44" t="inlineStr">
        <is>
          <t>Type all four counts into the blue cells: repair tickets and PMs for Burnsville, then the same two for Lakeville. A week is only picked up once all four are in, so a half-filled block is left out rather than reported as zeros.</t>
        </is>
      </c>
    </row>
    <row r="12" ht="45" customHeight="1">
      <c r="B12" s="45" t="inlineStr">
        <is>
          <t>Step 4</t>
        </is>
      </c>
      <c r="C12" s="44" t="inlineStr">
        <is>
          <t>If a number moved for a reason worth remembering, type it into the NOTE row of that same block. It shows up in the Notes column of the weekly log.</t>
        </is>
      </c>
    </row>
    <row r="13" ht="30" customHeight="1">
      <c r="B13" s="45" t="inlineStr">
        <is>
          <t>Step 5</t>
        </is>
      </c>
      <c r="C13" s="44" t="inlineStr">
        <is>
          <t>Go to the History tab and read the top. If a red bar has appeared under the headline, fix what it names before you send anything.</t>
        </is>
      </c>
    </row>
    <row r="14" ht="45" customHeight="1">
      <c r="B14" s="45" t="inlineStr">
        <is>
          <t>Step 6</t>
        </is>
      </c>
      <c r="C14" s="44" t="inlineStr">
        <is>
          <t>Copy the email box (to the right of the charts) into your weekly email. In Outlook, paste with Keep Text Only, or you will paste a one-cell table. Send the file link with it.</t>
        </is>
      </c>
    </row>
    <row r="15" ht="8" customHeight="1"/>
    <row r="16" ht="22" customHeight="1">
      <c r="B16" s="18" t="inlineStr">
        <is>
          <t>READING THE NUMBERS</t>
        </is>
      </c>
      <c r="C16" s="18" t="n"/>
    </row>
    <row r="17" ht="45" customHeight="1">
      <c r="B17" s="44" t="inlineStr">
        <is>
          <t>Repair tickets and PMs are counted separately on purpose. PMs are scheduled work: when the maintenance system releases a new batch, the PM count jumps by dozens overnight without anything going wrong on the floor.</t>
        </is>
      </c>
    </row>
    <row r="18" ht="30" customHeight="1">
      <c r="B18" s="44" t="inlineStr">
        <is>
          <t>Repair tickets are the number that reflects real, unplanned backlog. When you are asked whether things are getting better or worse, that is the line to look at.</t>
        </is>
      </c>
    </row>
    <row r="19" ht="60" customHeight="1">
      <c r="B19" s="44" t="inlineStr">
        <is>
          <t>▲ means more open than the previous entry, ▼ means fewer. The arrow carries the meaning, so it reads correctly in black and white and for a colourblind reader. Only the repair rows are coloured red and green, because a rising PM count usually means a batch was released, not that anything went wrong.</t>
        </is>
      </c>
    </row>
    <row r="20" ht="30" customHeight="1">
      <c r="B20" s="44" t="inlineStr">
        <is>
          <t>The 4-week average column answers "is this week normal?". A single week bounces around; the average is what tells you whether the level has actually moved.</t>
        </is>
      </c>
    </row>
    <row r="21" ht="60" customHeight="1">
      <c r="B21" s="44" t="inlineStr">
        <is>
          <t>There is one chart per plant, plus one for the two together. They are split that way because Lakeville runs about twenty times higher than Burnsville: any chart holding both plants' PM counts would flatten Burnsville onto the axis and show nothing. In every chart blue is repair tickets, orange is PMs, and dark grey is the two added together.</t>
        </is>
      </c>
    </row>
    <row r="22" ht="30" customHeight="1">
      <c r="B22" s="44" t="inlineStr">
        <is>
          <t>The charts show the most recent 26 weeks so they stay readable as the file fills up. Every week ever recorded is in the log underneath them.</t>
        </is>
      </c>
    </row>
    <row r="23" ht="8" customHeight="1"/>
    <row r="24" ht="22" customHeight="1">
      <c r="B24" s="18" t="inlineStr">
        <is>
          <t>CONVENTIONS</t>
        </is>
      </c>
      <c r="C24" s="18" t="n"/>
    </row>
    <row r="25" ht="30" customHeight="1">
      <c r="B25" s="44" t="inlineStr">
        <is>
          <t>"Count Date" is the date the count was actually pulled, which is normally a Monday. The first entry, 09-15-2026, was pulled on a Tuesday and is left as it was recorded rather than tidied.</t>
        </is>
      </c>
    </row>
    <row r="26" ht="30" customHeight="1">
      <c r="B26" s="44" t="inlineStr">
        <is>
          <t>A count is the number of work orders open at the moment of the pull, not the number opened or closed that week.</t>
        </is>
      </c>
    </row>
    <row r="27" ht="45" customHeight="1">
      <c r="B27" s="44" t="inlineStr">
        <is>
          <t>Leave a week blank if no count was taken. The history skips it rather than showing a zero. Because of that, "Change vs Previous Entry" compares against the last week actually recorded, which is not always seven days back — the headline and the email say how long ago it really was.</t>
        </is>
      </c>
    </row>
    <row r="28" ht="8" customHeight="1"/>
    <row r="29" ht="22" customHeight="1">
      <c r="B29" s="18" t="inlineStr">
        <is>
          <t>COLOURS AND WHAT THEY MEAN</t>
        </is>
      </c>
      <c r="C29" s="18" t="n"/>
    </row>
    <row r="30" ht="30" customHeight="1">
      <c r="B30" s="45" t="inlineStr">
        <is>
          <t>Blue on Totals</t>
        </is>
      </c>
      <c r="C30" s="44" t="inlineStr">
        <is>
          <t>Cells you type into: the four counts and the NOTE. Nothing else on Totals is typed.</t>
        </is>
      </c>
    </row>
    <row r="31" ht="30" customHeight="1">
      <c r="B31" s="45" t="inlineStr">
        <is>
          <t>Yellow fill</t>
        </is>
      </c>
      <c r="C31" s="44" t="inlineStr">
        <is>
          <t>Something is missing: a week whose date has passed with no counts entered, or a blank you are expected to fill in on this tab.</t>
        </is>
      </c>
    </row>
    <row r="32" ht="30" customHeight="1">
      <c r="B32" s="45" t="inlineStr">
        <is>
          <t>Red fill on a date</t>
        </is>
      </c>
      <c r="C32" s="44" t="inlineStr">
        <is>
          <t>Two blocks carry that same date. Fix it — one of them is a duplicate and will publish a week that never happened.</t>
        </is>
      </c>
    </row>
    <row r="33" ht="30" customHeight="1">
      <c r="B33" s="45" t="inlineStr">
        <is>
          <t>Red bar on History</t>
        </is>
      </c>
      <c r="C33" s="44" t="inlineStr">
        <is>
          <t>A problem worth stopping for. The bar says what it is. When everything is fine there is no bar.</t>
        </is>
      </c>
    </row>
    <row r="34" ht="15" customHeight="1">
      <c r="B34" s="45" t="inlineStr">
        <is>
          <t>Black numbers</t>
        </is>
      </c>
      <c r="C34" s="44" t="inlineStr">
        <is>
          <t>Calculated. Do not type over them — you would break the week.</t>
        </is>
      </c>
    </row>
    <row r="35" ht="8" customHeight="1"/>
    <row r="36" ht="22" customHeight="1">
      <c r="B36" s="18" t="inlineStr">
        <is>
          <t>FILL THESE IN</t>
        </is>
      </c>
      <c r="C36" s="18" t="n"/>
    </row>
    <row r="37" ht="20" customHeight="1">
      <c r="B37" s="46" t="inlineStr">
        <is>
          <t>Where this file lives (paste the SharePoint link)</t>
        </is>
      </c>
      <c r="C37" s="47" t="inlineStr"/>
    </row>
    <row r="38" ht="20" customHeight="1">
      <c r="B38" s="46" t="inlineStr">
        <is>
          <t>Name of the report the counts come from</t>
        </is>
      </c>
      <c r="C38" s="47" t="inlineStr"/>
    </row>
    <row r="39" ht="8" customHeight="1"/>
    <row r="40" ht="22" customHeight="1">
      <c r="B40" s="18" t="inlineStr">
        <is>
          <t>THE SHEETS ARE PROTECTED</t>
        </is>
      </c>
      <c r="C40" s="18" t="n"/>
    </row>
    <row r="41" ht="30" customHeight="1">
      <c r="B41" s="44" t="inlineStr">
        <is>
          <t>The three tabs are protected with no password, so you can still type in the blue cells and the yellow ones and nowhere else. It is a guard rail against overtyping a formula, not a lock.</t>
        </is>
      </c>
    </row>
    <row r="42" ht="45" customHeight="1">
      <c r="B42" s="44" t="inlineStr">
        <is>
          <t>If you genuinely need to change something else — adding rows to the log, or adding blocks past the pre-built ones — use Review &gt; Unprotect Sheet, make the change, then Review &gt; Protect Sheet to put it back.</t>
        </is>
      </c>
    </row>
    <row r="43" ht="8" customHeight="1"/>
    <row r="44" ht="22" customHeight="1">
      <c r="B44" s="18" t="inlineStr">
        <is>
          <t>THINGS NOT TO DO</t>
        </is>
      </c>
      <c r="C44" s="18" t="n"/>
    </row>
    <row r="45" ht="30" customHeight="1">
      <c r="B45" s="44" t="inlineStr">
        <is>
          <t>Do not sort or re-order the weekly log. Every cell in it is a formula tied to its week, so sorting would scramble it. The filter buttons have been removed for that reason.</t>
        </is>
      </c>
    </row>
    <row r="46" ht="30" customHeight="1">
      <c r="B46" s="44" t="inlineStr">
        <is>
          <t>Do not type into the weekly log, including the Notes column. Notes belong on the Totals tab, in the NOTE row of the week they describe, so they stay attached to that week no matter what else changes.</t>
        </is>
      </c>
    </row>
    <row r="47" ht="30" customHeight="1">
      <c r="B47" s="44" t="inlineStr">
        <is>
          <t>Do not give two blocks the same date. That is the one mistake that produces a believable but wrong number, so the file watches for it and says so.</t>
        </is>
      </c>
    </row>
    <row r="48" ht="30" customHeight="1">
      <c r="B48" s="44" t="inlineStr">
        <is>
          <t>Do not insert a column inside an existing block. Adding whole blocks on the right is safe; splitting one is not.</t>
        </is>
      </c>
    </row>
    <row r="49" ht="8" customHeight="1"/>
    <row r="50" ht="22" customHeight="1">
      <c r="B50" s="18" t="inlineStr">
        <is>
          <t>WHEN THE PRE-BUILT WEEKS RUN OUT</t>
        </is>
      </c>
      <c r="C50" s="18" t="n"/>
    </row>
    <row r="51" ht="30" customHeight="1">
      <c r="B51" s="44" t="inlineStr">
        <is>
          <t>Blocks are pre-built through September 11, 2028, and the weekly log has room for 110 weeks. That is about two years from the first entry.</t>
        </is>
      </c>
    </row>
    <row r="52" ht="45" customHeight="1">
      <c r="B52" s="44" t="inlineStr">
        <is>
          <t>To add a week: select the three columns of the last block, copy, paste into the next three empty columns to the right, then DELETE the four counts and the note, and only then change the date. Clearing before dating is what stops a duplicate week appearing. Do not paste past column OJ.</t>
        </is>
      </c>
    </row>
    <row r="53" ht="30" customHeight="1">
      <c r="B53" s="44" t="inlineStr">
        <is>
          <t>To add rows to the log: click the last row of the weekly log and drag the fill handle down. Every column is a formula and will copy.</t>
        </is>
      </c>
    </row>
    <row r="54" ht="30" customHeight="1">
      <c r="B54" s="44" t="inlineStr">
        <is>
          <t>Hidden rows 30 to 35 on Totals do the block bookkeeping and the error checking. Leave them alone; unhide them if you ever need to see why a week is not appearing.</t>
        </is>
      </c>
    </row>
    <row r="55" ht="45" customHeight="1">
      <c r="B55" s="44" t="inlineStr">
        <is>
          <t>Every formula in this file uses functions that have been in Excel since 2007, so it opens the same in Excel for the web, on a phone, and in older desktop versions. If you edit it, keep to those — newer functions can come back as #NAME? for other people.</t>
        </is>
      </c>
    </row>
    <row r="56" ht="8" customHeight="1"/>
    <row r="57" ht="22" customHeight="1">
      <c r="B57" s="18" t="inlineStr">
        <is>
          <t>HEALTH CHECK</t>
        </is>
      </c>
      <c r="C57" s="18" t="n"/>
    </row>
    <row r="58">
      <c r="B58" s="48" t="inlineStr">
        <is>
          <t>Weeks recorded</t>
        </is>
      </c>
      <c r="C58" s="49">
        <f>History!$N$1</f>
        <v/>
      </c>
    </row>
    <row r="59">
      <c r="B59" s="48" t="inlineStr">
        <is>
          <t>Blocks built on Totals</t>
        </is>
      </c>
      <c r="C59" s="49">
        <f>Totals!$C$33</f>
        <v/>
      </c>
    </row>
    <row r="60">
      <c r="B60" s="48" t="inlineStr">
        <is>
          <t>Part-filled blocks being skipped</t>
        </is>
      </c>
      <c r="C60" s="49">
        <f>Totals!$E$33</f>
        <v/>
      </c>
    </row>
    <row r="61">
      <c r="B61" s="48" t="inlineStr">
        <is>
          <t>Blocks sharing a date</t>
        </is>
      </c>
      <c r="C61" s="49">
        <f>Totals!$F$33</f>
        <v/>
      </c>
    </row>
    <row r="62">
      <c r="B62" s="48" t="inlineStr">
        <is>
          <t>Blocks the History tab can see</t>
        </is>
      </c>
      <c r="C62" s="49">
        <f>IF(Totals!$D$33&gt;Totals!$C$33,"PROBLEM: blocks exist past column OJ and are being ignored","all of them")</f>
        <v/>
      </c>
    </row>
    <row r="63" ht="8" customHeight="1"/>
    <row r="64" ht="22" customHeight="1">
      <c r="B64" s="18" t="inlineStr">
        <is>
          <t>CHANGE LOG</t>
        </is>
      </c>
      <c r="C64" s="18" t="n"/>
    </row>
    <row r="65" ht="15" customHeight="1">
      <c r="B65" s="44" t="inlineStr">
        <is>
          <t>2026-09-21 — first version: Totals entry grid plus a weekly history tab.</t>
        </is>
      </c>
    </row>
    <row r="66" ht="75" customHeight="1">
      <c r="B66" s="44" t="inlineStr">
        <is>
          <t>2026-09-22 — rebuilt. Added the scorecard at the top with repair tickets as the headline and a 4-week average, split repair tickets from PMs, replaced the single chart with one per plant over a rolling 26 weeks, moved notes onto the Totals blocks so they cannot drift off their week, added the email box, this tab, two years of pre-built weeks, checks for part-filled and duplicate weeks, sheet protection, and block lookup that no longer depends on counting columns.</t>
        </is>
      </c>
    </row>
  </sheetData>
  <sheetProtection selectLockedCells="0" selectUnlockedCells="0" sheet="1" objects="0" insertRows="1" insertHyperlinks="1" autoFilter="1" scenarios="0" formatColumns="1" deleteColumns="1" insertColumns="1" pivotTables="1" deleteRows="1" formatCells="0" formatRows="1" sort="1"/>
  <mergeCells count="36">
    <mergeCell ref="B47:C47"/>
    <mergeCell ref="B16:C16"/>
    <mergeCell ref="B54:C54"/>
    <mergeCell ref="B25:C25"/>
    <mergeCell ref="B46:C46"/>
    <mergeCell ref="B22:C22"/>
    <mergeCell ref="B66:C66"/>
    <mergeCell ref="B27:C27"/>
    <mergeCell ref="B18:C18"/>
    <mergeCell ref="B52:C52"/>
    <mergeCell ref="B21:C21"/>
    <mergeCell ref="B2:C2"/>
    <mergeCell ref="B48:C48"/>
    <mergeCell ref="B42:C42"/>
    <mergeCell ref="B17:C17"/>
    <mergeCell ref="B57:C57"/>
    <mergeCell ref="B8:C8"/>
    <mergeCell ref="B53:C53"/>
    <mergeCell ref="B44:C44"/>
    <mergeCell ref="B29:C29"/>
    <mergeCell ref="B19:C19"/>
    <mergeCell ref="B40:C40"/>
    <mergeCell ref="B65:C65"/>
    <mergeCell ref="B55:C55"/>
    <mergeCell ref="B6:C6"/>
    <mergeCell ref="B24:C24"/>
    <mergeCell ref="B64:C64"/>
    <mergeCell ref="B5:C5"/>
    <mergeCell ref="B20:C20"/>
    <mergeCell ref="B51:C51"/>
    <mergeCell ref="B45:C45"/>
    <mergeCell ref="B36:C36"/>
    <mergeCell ref="B50:C50"/>
    <mergeCell ref="B26:C26"/>
    <mergeCell ref="B41:C41"/>
    <mergeCell ref="B4:C4"/>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Buddy's Kitchen Maintenance</dc:creator>
  <dc:title>Open work orders — weekly history</dc:title>
  <dc:description>Weekly count of open work orders at Burnsville and Lakeville, split into repair tickets and PMs. Enter four numbers a week on the Totals tab.</dc:description>
  <dcterms:created xsi:type="dcterms:W3CDTF">2026-09-22T22:02:16Z</dcterms:created>
  <dcterms:modified xsi:type="dcterms:W3CDTF">2026-09-22T22:02:16Z</dcterms:modified>
</cp:coreProperties>
</file>