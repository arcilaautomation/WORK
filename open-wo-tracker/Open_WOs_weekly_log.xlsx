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" yWindow="1275" windowWidth="25260" windowHeight="13695" tabRatio="600" firstSheet="0" activeTab="0" autoFilterDateGrouping="1"/>
  </bookViews>
  <sheets>
    <sheet name="Weekly Log" sheetId="1" state="visible" r:id="rId1"/>
  </sheets>
  <definedNames>
    <definedName name="_xlnm.Print_Titles" localSheetId="0">'Weekly Log'!$1:$1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mm/dd/yy;@"/>
    <numFmt numFmtId="166" formatCode="&quot;▲ &quot;#,##0;&quot;▼ &quot;#,##0;&quot;No change&quot;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20"/>
      <scheme val="minor"/>
    </font>
    <font>
      <name val="Calibri"/>
      <family val="2"/>
      <i val="1"/>
      <color rgb="FF898781"/>
      <sz val="10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rgb="FF262626"/>
      <sz val="16"/>
      <scheme val="minor"/>
    </font>
    <font>
      <name val="Calibri"/>
      <family val="2"/>
      <i val="1"/>
      <color rgb="FF52514E"/>
      <sz val="10"/>
      <scheme val="minor"/>
    </font>
    <font>
      <name val="Calibri"/>
      <family val="2"/>
      <color rgb="FF262626"/>
      <sz val="11"/>
      <scheme val="minor"/>
    </font>
    <font>
      <name val="Calibri"/>
      <family val="2"/>
      <b val="1"/>
      <color rgb="FF40404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5F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3" fontId="10" fillId="10" borderId="0" applyAlignment="1" pivotButton="0" quotePrefix="0" xfId="0">
      <alignment horizontal="center"/>
    </xf>
    <xf numFmtId="166" fontId="10" fillId="1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/>
  </cellStyles>
  <dxfs count="18">
    <dxf>
      <font>
        <name val="Calibri"/>
        <family val="2"/>
        <b val="1"/>
        <strike val="0"/>
        <outline val="0"/>
        <shadow val="0"/>
        <condense val="0"/>
        <color rgb="FF404040"/>
        <extend val="0"/>
        <sz val="11"/>
        <vertAlign val="baseline"/>
        <scheme val="minor"/>
      </font>
      <numFmt numFmtId="166" formatCode="&quot;▲ &quot;#,##0;&quot;▼ &quot;#,##0;&quot;No change&quot;"/>
      <fill>
        <patternFill patternType="solid">
          <fgColor indexed="64"/>
          <bgColor rgb="FFF5F5F5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rgb="FF404040"/>
        <extend val="0"/>
        <sz val="11"/>
        <vertAlign val="baseline"/>
        <scheme val="minor"/>
      </font>
      <numFmt numFmtId="3" formatCode="#,##0"/>
      <fill>
        <patternFill patternType="solid">
          <fgColor indexed="64"/>
          <bgColor rgb="FFF5F5F5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rgb="FF404040"/>
        <extend val="0"/>
        <sz val="11"/>
        <vertAlign val="baseline"/>
        <scheme val="minor"/>
      </font>
      <numFmt numFmtId="3" formatCode="#,##0"/>
      <fill>
        <patternFill patternType="solid">
          <fgColor indexed="64"/>
          <bgColor rgb="FFF5F5F5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rgb="FF404040"/>
        <extend val="0"/>
        <sz val="11"/>
        <vertAlign val="baseline"/>
        <scheme val="minor"/>
      </font>
      <numFmt numFmtId="3" formatCode="#,##0"/>
      <fill>
        <patternFill patternType="solid">
          <fgColor indexed="64"/>
          <bgColor rgb="FFF5F5F5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9" formatCode="m/d/yyyy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bottom"/>
    </dxf>
    <dxf>
      <font>
        <name val="Calibri"/>
        <family val="2"/>
        <strike val="0"/>
        <outline val="0"/>
        <shadow val="0"/>
        <condense val="0"/>
        <color rgb="FF262626"/>
        <extend val="0"/>
        <sz val="11"/>
        <vertAlign val="baseline"/>
        <scheme val="minor"/>
      </font>
      <alignment horizontal="center" vertical="center" wrapText="1"/>
    </dxf>
    <dxf>
      <font>
        <color rgb="FF006300"/>
      </font>
    </dxf>
    <dxf>
      <font>
        <color rgb="FFD03B3B"/>
      </font>
    </dxf>
    <dxf>
      <font>
        <color rgb="FFD03B3B"/>
      </font>
    </dxf>
    <dxf>
      <font>
        <color rgb="FFD03B3B"/>
      </font>
    </dxf>
    <dxf>
      <font>
        <color rgb="FFD03B3B"/>
      </font>
    </dxf>
    <dxf>
      <font>
        <b val="1"/>
      </font>
      <border>
        <bottom style="thin">
          <color rgb="FF7F7F7F"/>
        </bottom>
      </border>
    </dxf>
    <dxf>
      <border>
        <bottom style="thin">
          <color rgb="FFBFBFBF"/>
        </bottom>
        <horizontal style="thin">
          <color rgb="FFE4E4E4"/>
        </horizontal>
      </border>
    </dxf>
  </dxfs>
  <tableStyles count="1" defaultTableStyle="TableStyleMedium2" defaultPivotStyle="PivotStyleLight16">
    <tableStyle name="Weekly Log Style" pivot="0" table="0" count="2">
      <tableStyleElement type="wholeTable" dxfId="17"/>
      <tableStyleElement type="headerRow" dxfId="16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WeeklyLog" displayName="WeeklyLog" ref="A1:I3" headerRowCount="1" totalsRowShown="0" headerRowDxfId="10" dataDxfId="9">
  <autoFilter ref="A1:I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</autoFilter>
  <tableColumns count="9">
    <tableColumn id="1" name="Week Of" dataDxfId="8"/>
    <tableColumn id="2" name="Burnsville Repair Tickets" dataDxfId="7"/>
    <tableColumn id="3" name="Burnsville PMs" dataDxfId="6"/>
    <tableColumn id="4" name="Burnsville Total" dataDxfId="5">
      <calculatedColumnFormula>WeeklyLog[[#This Row],[Burnsville Repair Tickets]]+WeeklyLog[[#This Row],[Burnsville PMs]]</calculatedColumnFormula>
    </tableColumn>
    <tableColumn id="5" name="Lakeville Repair Tickets" dataDxfId="4"/>
    <tableColumn id="6" name="Lakeville PMs" dataDxfId="3"/>
    <tableColumn id="7" name="Lakeville Total" dataDxfId="2">
      <calculatedColumnFormula>WeeklyLog[[#This Row],[Lakeville Repair Tickets]]+WeeklyLog[[#This Row],[Lakeville PMs]]</calculatedColumnFormula>
    </tableColumn>
    <tableColumn id="8" name="Combined Total" dataDxfId="1">
      <calculatedColumnFormula>WeeklyLog[[#This Row],[Burnsville Total]]+WeeklyLog[[#This Row],[Lakeville Total]]</calculatedColumnFormula>
    </tableColumn>
    <tableColumn id="9" name="Change vs Last Week" dataDxfId="0">
      <calculatedColumnFormula>IFERROR(WeeklyLog[[#This Row],[Combined Total]]-OFFSET(WeeklyLog[[#This Row],[Combined Total]],-1,0),"")</calculatedColumnFormula>
    </tableColumn>
  </tableColumns>
  <tableStyleInfo name="Weekly Log Style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zoomScaleNormal="100" workbookViewId="0">
      <pane ySplit="1" topLeftCell="A2" activePane="bottomLeft" state="frozen"/>
      <selection pane="bottomLeft" activeCell="A4" sqref="A4"/>
    </sheetView>
  </sheetViews>
  <sheetFormatPr baseColWidth="8" defaultRowHeight="15"/>
  <cols>
    <col width="13.7109375" customWidth="1" min="1" max="1"/>
    <col width="23" customWidth="1" min="2" max="2"/>
    <col width="15.7109375" customWidth="1" min="3" max="4"/>
    <col width="22.140625" customWidth="1" min="5" max="5"/>
    <col width="15.7109375" customWidth="1" min="6" max="7"/>
    <col width="16.28515625" customWidth="1" min="8" max="8"/>
    <col width="20.42578125" customWidth="1" min="9" max="9"/>
  </cols>
  <sheetData>
    <row r="1" ht="31.9" customHeight="1">
      <c r="A1" s="34" t="inlineStr">
        <is>
          <t>Week Of</t>
        </is>
      </c>
      <c r="B1" s="35" t="inlineStr">
        <is>
          <t>Burnsville Repair Tickets</t>
        </is>
      </c>
      <c r="C1" s="35" t="inlineStr">
        <is>
          <t>Burnsville PMs</t>
        </is>
      </c>
      <c r="D1" s="35" t="inlineStr">
        <is>
          <t>Burnsville Total</t>
        </is>
      </c>
      <c r="E1" s="36" t="inlineStr">
        <is>
          <t>Lakeville Repair Tickets</t>
        </is>
      </c>
      <c r="F1" s="36" t="inlineStr">
        <is>
          <t>Lakeville PMs</t>
        </is>
      </c>
      <c r="G1" s="36" t="inlineStr">
        <is>
          <t>Lakeville Total</t>
        </is>
      </c>
      <c r="H1" s="37" t="inlineStr">
        <is>
          <t>Combined Total</t>
        </is>
      </c>
      <c r="I1" s="37" t="inlineStr">
        <is>
          <t>Change vs Last Week</t>
        </is>
      </c>
    </row>
    <row r="2">
      <c r="A2" s="39" t="n">
        <v>46280</v>
      </c>
      <c r="B2" s="38" t="n">
        <v>11</v>
      </c>
      <c r="C2" s="38" t="n">
        <v>3</v>
      </c>
      <c r="D2" s="40">
        <f>WeeklyLog[[#This Row],[Burnsville Repair Tickets]]+WeeklyLog[[#This Row],[Burnsville PMs]]</f>
        <v>14</v>
      </c>
      <c r="E2" s="38" t="n">
        <v>32</v>
      </c>
      <c r="F2" s="38" t="n">
        <v>173</v>
      </c>
      <c r="G2" s="40">
        <f>WeeklyLog[[#This Row],[Lakeville Repair Tickets]]+WeeklyLog[[#This Row],[Lakeville PMs]]</f>
        <v>205</v>
      </c>
      <c r="H2" s="40">
        <f>WeeklyLog[[#This Row],[Burnsville Total]]+WeeklyLog[[#This Row],[Lakeville Total]]</f>
        <v>219</v>
      </c>
      <c r="I2" s="41" t="str">
        <f>IFERROR(WeeklyLog[[#This Row],[Combined Total]]-OFFSET(WeeklyLog[[#This Row],[Combined Total]],-1,0),"")</f>
        <v/>
      </c>
    </row>
    <row r="3">
      <c r="A3" s="39" t="n">
        <v>46286</v>
      </c>
      <c r="B3" s="38" t="n">
        <v>7</v>
      </c>
      <c r="C3" s="38" t="n">
        <v>6</v>
      </c>
      <c r="D3" s="40">
        <f>WeeklyLog[[#This Row],[Burnsville Repair Tickets]]+WeeklyLog[[#This Row],[Burnsville PMs]]</f>
        <v>13</v>
      </c>
      <c r="E3" s="38" t="n">
        <v>38</v>
      </c>
      <c r="F3" s="38" t="n">
        <v>241</v>
      </c>
      <c r="G3" s="40">
        <f>WeeklyLog[[#This Row],[Lakeville Repair Tickets]]+WeeklyLog[[#This Row],[Lakeville PMs]]</f>
        <v>279</v>
      </c>
      <c r="H3" s="40">
        <f>WeeklyLog[[#This Row],[Burnsville Total]]+WeeklyLog[[#This Row],[Lakeville Total]]</f>
        <v>292</v>
      </c>
      <c r="I3" s="41">
        <f>IFERROR(WeeklyLog[[#This Row],[Combined Total]]-OFFSET(WeeklyLog[[#This Row],[Combined Total]],-1,0),"")</f>
        <v>73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conditionalFormatting sqref="I2:I1000">
    <cfRule type="expression" priority="1" dxfId="12" stopIfTrue="1">
      <formula>AND(ISNUMBER(I2),I2&gt;0)</formula>
    </cfRule>
    <cfRule type="expression" priority="2" dxfId="11" stopIfTrue="1">
      <formula>AND(ISNUMBER(I2),I2&lt;0)</formula>
    </cfRule>
  </conditionalFormatting>
  <printOptions horizontalCentered="1"/>
  <pageMargins left="0.7" right="0.7" top="0.75" bottom="0.75" header="0.3" footer="0.3"/>
  <pageSetup orientation="landscape" scale="77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Kristine Michael</dc:creator>
  <dcterms:created xsi:type="dcterms:W3CDTF">2022-03-30T13:23:41Z</dcterms:created>
  <dcterms:modified xsi:type="dcterms:W3CDTF">2026-09-23T16:46:01Z</dcterms:modified>
  <cp:lastModifiedBy>Jonathan Weber</cp:lastModifiedBy>
  <cp:lastPrinted>2026-09-21T22:34:11Z</cp:lastPrinted>
</cp:coreProperties>
</file>