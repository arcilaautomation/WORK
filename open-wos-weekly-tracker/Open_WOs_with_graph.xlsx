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2" documentId="8_{13A66354-4290-446E-B311-AE1A5843A5C8}" xr6:coauthVersionLast="47" xr6:coauthVersionMax="47" xr10:uidLastSave="{0EE88116-21C8-4AA4-8C62-316F6907B512}"/>
  <bookViews>
    <workbookView activeTab="1" xWindow="285" yWindow="1275" windowWidth="25260" windowHeight="13695" xr2:uid="{C7DEE03B-6693-435C-9B90-2E0F24388ABA}"/>
  </bookViews>
  <sheets>
    <sheet name="Sheet1" sheetId="17" r:id="rId2"/>
    <sheet name="Totals" sheetId="2" r:id="rId1"/>
  </sheets>
  <definedNames>
    <definedName name="chart_BV" localSheetId="0">WeeklyLog[Burnsville Total]</definedName>
    <definedName name="chart_CO" localSheetId="0">WeeklyLog[Combined Total]</definedName>
    <definedName name="chart_LV" localSheetId="0">WeeklyLog[Lakeville Total]</definedName>
    <definedName name="chart_Week" localSheetId="0">WeeklyLog[Week Of]</definedName>
    <definedName name="last_BV" localSheetId="0">IF(WeeklyLog[Week Of]=MAX(WeeklyLog[Week Of]),WeeklyLog[Burnsville Total],NA())</definedName>
    <definedName name="last_CO" localSheetId="0">IF(WeeklyLog[Week Of]=MAX(WeeklyLog[Week Of]),WeeklyLog[Combined Total],NA())</definedName>
    <definedName name="last_LV" localSheetId="0">IF(WeeklyLog[Week Of]=MAX(WeeklyLog[Week Of]),WeeklyLog[Lakeville Total],NA())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<sst xmlns="http://schemas.openxmlformats.org/spreadsheetml/2006/main" count="18" uniqueCount="18">
  <si>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</si>
  <si>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BURNSVILLE</t>
  </si>
  <si>
    <t>OPEN REPAIR TICKETS</t>
  </si>
  <si>
    <t xml:space="preserve">OPEN PMS </t>
  </si>
  <si>
    <t>TOTAL</t>
  </si>
  <si>
    <t>LAKEVILLE</t>
  </si>
  <si>
    <t>COMBINED</t>
  </si>
  <si>
    <t>TOTAL OPEN IN BOTH PLANTS</t>
  </si>
  <si>
    <t>OPEN WORK ORDERS – WEEKLY HISTORY</t>
  </si>
  <si>
    <t>Week Of</t>
  </si>
  <si>
    <t>Burnsville Repair Tickets</t>
  </si>
  <si>
    <t>Burnsville PMs</t>
  </si>
  <si>
    <t>Burnsville Total</t>
  </si>
  <si>
    <t>Lakeville Repair Tickets</t>
  </si>
  <si>
    <t>Lakeville PMs</t>
  </si>
  <si>
    <t>Lakeville Total</t>
  </si>
  <si>
    <t>Combined Total</t>
  </si>
  <si>
    <t>Change vs Last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</si>
</sst>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;@"/>
    <numFmt numFmtId="165" formatCode="[$-F800]dddd\,\ mmmm\ dd\,\ yyyy"/>
    <numFmt numFmtId="166" formatCode="&quot;▲ &quot;#,##0;&quot;▼ &quot;#,##0;&quot;No change&quot;"/>
  </numFmts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0"/>
      <color rgb="FF898781"/>
      <name val="Calibri"/>
      <family val="2"/>
      <scheme val="minor"/>
    </font>
    <font>
      <b/>
      <sz val="9"/>
      <color indexed="81"/>
      <name val="Tahoma"/>
      <family val="2"/>
    </font>
    <font>
      <b/>
      <sz val="16"/>
      <color rgb="FF262626"/>
      <name val="Calibri"/>
      <family val="2"/>
      <scheme val="minor"/>
    </font>
    <font>
      <i/>
      <sz val="10"/>
      <color rgb="FF52514E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1"/>
      <color rgb="FF40404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5F5F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" xfId="0" applyBorder="1" applyAlignme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10" fillId="10" borderId="0" xfId="0" applyNumberFormat="1" applyFont="1" applyFill="1" applyAlignment="1">
      <alignment horizontal="center"/>
    </xf>
    <xf numFmtId="166" fontId="10" fillId="10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66" formatCode="&quot;▲ &quot;#,##0;&quot;▼ &quot;#,##0;&quot;No change&quot;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3" formatCode="#,##0"/>
      <fill>
        <patternFill patternType="solid">
          <fgColor indexed="64"/>
          <bgColor rgb="FFF5F5F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62626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color rgb="FF006300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color rgb="FFD03B3B"/>
      </font>
    </dxf>
    <dxf>
      <font>
        <b/>
        <i val="0"/>
      </font>
      <border>
        <bottom style="thin">
          <color rgb="FF7F7F7F"/>
        </bottom>
      </border>
    </dxf>
    <dxf>
      <border>
        <bottom style="thin">
          <color rgb="FFBFBFBF"/>
        </bottom>
        <horizontal style="thin">
          <color rgb="FFE4E4E4"/>
        </horizontal>
      </border>
    </dxf>
  </dxfs>
  <tableStyles count="1" defaultTableStyle="TableStyleMedium2" defaultPivotStyle="PivotStyleLight16">
    <tableStyle name="Weekly Log Style" pivot="0" table="0" count="2" xr9:uid="{FA79C010-6356-4203-AB79-3D71C0298BED}">
      <tableStyleElement type="wholeTable" dxfId="17"/>
      <tableStyleElement type="headerRow" dxfId="16"/>
    </tableStyle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Open work orders by week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9690033018841051E-2"/>
          <c:y val="0.31041666666666673"/>
          <c:w val="0.89939024390243905"/>
          <c:h val="0.60329861111111116"/>
        </c:manualLayout>
      </c:layout>
      <c:lineChart>
        <c:grouping val="standard"/>
        <c:varyColors val="0"/>
        <c:ser>
          <c:idx val="0"/>
          <c:order val="0"/>
          <c:tx>
            <c:v>Burnsville</c:v>
          </c:tx>
          <c:spPr>
            <a:ln w="25400">
              <a:solidFill>
                <a:srgbClr val="1BAF7A"/>
              </a:solidFill>
            </a:ln>
          </c:spPr>
          <c:marker>
            <c:symbol val="circle"/>
            <c:size val="7"/>
            <c:spPr>
              <a:solidFill>
                <a:srgbClr val="1BAF7A"/>
              </a:solidFill>
              <a:ln w="2540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Sheet1!chart_BV</c:f>
              <c:numCache>
                <c:formatCode>#,##0</c:formatCode>
                <c:ptCount val="2"/>
                <c:pt idx="0">
                  <c:v>14</c:v>
                </c:pt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2D-4CC4-98FB-3FC4B1E2CDF3}"/>
            </c:ext>
          </c:extLst>
        </c:ser>
        <c:ser>
          <c:idx val="1"/>
          <c:order val="1"/>
          <c:tx>
            <c:v>Lakeville</c:v>
          </c:tx>
          <c:spPr>
            <a:ln w="25400">
              <a:solidFill>
                <a:srgbClr val="2A78D6"/>
              </a:solidFill>
            </a:ln>
          </c:spPr>
          <c:marker>
            <c:symbol val="circle"/>
            <c:size val="7"/>
            <c:spPr>
              <a:solidFill>
                <a:srgbClr val="2A78D6"/>
              </a:solidFill>
              <a:ln w="2540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Sheet1!chart_LV</c:f>
              <c:numCache>
                <c:formatCode>#,##0</c:formatCode>
                <c:ptCount val="2"/>
                <c:pt idx="0">
                  <c:v>205</c:v>
                </c:pt>
                <c:pt idx="1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2D-4CC4-98FB-3FC4B1E2CDF3}"/>
            </c:ext>
          </c:extLst>
        </c:ser>
        <c:ser>
          <c:idx val="2"/>
          <c:order val="2"/>
          <c:tx>
            <c:v>Combined</c:v>
          </c:tx>
          <c:spPr>
            <a:ln w="31750">
              <a:solidFill>
                <a:srgbClr val="262626"/>
              </a:solidFill>
            </a:ln>
          </c:spPr>
          <c:marker>
            <c:symbol val="circle"/>
            <c:size val="7"/>
            <c:spPr>
              <a:solidFill>
                <a:srgbClr val="262626"/>
              </a:solidFill>
              <a:ln w="31750">
                <a:solidFill>
                  <a:srgbClr val="FFFFFF"/>
                </a:solidFill>
                <a:prstDash val="solid"/>
              </a:ln>
            </c:spPr>
          </c:marker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Sheet1!chart_CO</c:f>
              <c:numCache>
                <c:formatCode>#,##0</c:formatCode>
                <c:ptCount val="2"/>
                <c:pt idx="0">
                  <c:v>219</c:v>
                </c:pt>
                <c:pt idx="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2D-4CC4-98FB-3FC4B1E2CDF3}"/>
            </c:ext>
          </c:extLst>
        </c:ser>
        <c:ser>
          <c:idx val="3"/>
          <c:order val="3"/>
          <c:tx>
            <c:v>Burnsville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FFC000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Sheet1!last_BV</c:f>
              <c:numCache>
                <c:formatCode>#,##0</c:formatCode>
                <c:ptCount val="2"/>
                <c:pt idx="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2D-4CC4-98FB-3FC4B1E2CDF3}"/>
            </c:ext>
          </c:extLst>
        </c:ser>
        <c:ser>
          <c:idx val="4"/>
          <c:order val="4"/>
          <c:tx>
            <c:v>Lakeville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5B9BD5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Sheet1!last_LV</c:f>
              <c:numCache>
                <c:formatCode>#,##0</c:formatCode>
                <c:ptCount val="2"/>
                <c:pt idx="1">
                  <c:v>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2D-4CC4-98FB-3FC4B1E2CDF3}"/>
            </c:ext>
          </c:extLst>
        </c:ser>
        <c:ser>
          <c:idx val="5"/>
          <c:order val="5"/>
          <c:tx>
            <c:v>Combined</c:v>
          </c:tx>
          <c:spPr>
            <a:ln w="1905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 cmpd="sng" algn="ctr">
                  <a:solidFill>
                    <a:srgbClr val="70AD47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Sheet1!chart_Week</c:f>
              <c:numCache>
                <c:formatCode>m/d/yyyy</c:formatCode>
                <c:ptCount val="2"/>
                <c:pt idx="0">
                  <c:v>46280</c:v>
                </c:pt>
                <c:pt idx="1">
                  <c:v>46286</c:v>
                </c:pt>
              </c:numCache>
            </c:numRef>
          </c:cat>
          <c:val>
            <c:numRef>
              <c:f>Sheet1!last_CO</c:f>
              <c:numCache>
                <c:formatCode>#,##0</c:formatCode>
                <c:ptCount val="2"/>
                <c:pt idx="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2D-4CC4-98FB-3FC4B1E2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949167"/>
        <c:axId val="1424949647"/>
      </c:lineChart>
      <c:catAx>
        <c:axId val="1424949167"/>
        <c:scaling>
          <c:orientation val="minMax"/>
        </c:scaling>
        <c:delete val="0"/>
        <c:axPos val="b"/>
        <c:numFmt formatCode="m/d" sourceLinked="0"/>
        <c:majorTickMark val="none"/>
        <c:minorTickMark val="none"/>
        <c:tickLblPos val="nextTo"/>
        <c:spPr>
          <a:ln w="9525">
            <a:solidFill>
              <a:srgbClr val="C3C2B7"/>
            </a:solidFill>
          </a:ln>
        </c:spPr>
        <c:crossAx val="1424949647"/>
        <c:crosses val="autoZero"/>
        <c:auto val="0"/>
        <c:lblAlgn val="ctr"/>
        <c:lblOffset val="100"/>
        <c:noMultiLvlLbl val="0"/>
      </c:catAx>
      <c:valAx>
        <c:axId val="1424949647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E1E0D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424949167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>
      <a:solidFill>
        <a:srgbClr val="D9D9D9"/>
      </a:solidFill>
    </a:ln>
  </c:spPr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3</xdr:row>
      <xdr:rowOff>0</xdr:rowOff>
    </xdr:from>
    <xdr:to>
      <xdr:col>8</xdr:col>
      <xdr:colOff>1376680</xdr:colOff>
      <xdr:row>19</xdr:row>
      <xdr:rowOff>0</xdr:rowOff>
    </xdr:to>
    <xdr:graphicFrame macro="">
      <xdr:nvGraphicFramePr>
        <xdr:cNvPr id="2" name="Open work orders by week">
          <a:extLst>
            <a:ext uri="{FF2B5EF4-FFF2-40B4-BE49-F238E27FC236}">
              <a16:creationId xmlns:a16="http://schemas.microsoft.com/office/drawing/2014/main" id="{BC12A2EC-9CAA-A219-5E60-3DD6D2966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A67808-CB3C-417B-9344-CB465344E1E7}" name="WeeklyLog" displayName="WeeklyLog" ref="A21:I23" totalsRowShown="0" headerRowDxfId="10" dataDxfId="9">
  <autoFilter ref="A21:I23" xr:uid="{FAA67808-CB3C-417B-9344-CB465344E1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147C25E-F3F6-4B45-B9D8-E6FCD9403FCD}" name="Week Of" dataDxfId="8"/>
    <tableColumn id="2" xr3:uid="{D5CF7A79-7DDD-4B83-8875-CCD6C8D9E42D}" name="Burnsville Repair Tickets" dataDxfId="7"/>
    <tableColumn id="3" xr3:uid="{C49CEAF5-521E-4B6D-9855-C9264B51FF10}" name="Burnsville PMs" dataDxfId="6"/>
    <tableColumn id="4" xr3:uid="{DEEE7B5D-DDBA-4E11-85BC-C3DC53551764}" name="Burnsville Total" dataDxfId="5">
      <calculatedColumnFormula>WeeklyLog[[#This Row],[Burnsville Repair Tickets]]+WeeklyLog[[#This Row],[Burnsville PMs]]</calculatedColumnFormula>
    </tableColumn>
    <tableColumn id="5" xr3:uid="{87460474-A791-4B36-9A6A-38F4E93B1F7B}" name="Lakeville Repair Tickets" dataDxfId="4"/>
    <tableColumn id="6" xr3:uid="{E558F3A5-D9CB-4C23-AA9F-7293BC7F900F}" name="Lakeville PMs" dataDxfId="3"/>
    <tableColumn id="7" xr3:uid="{C1803D2A-0953-4951-86B5-83796D01D2E4}" name="Lakeville Total" dataDxfId="2">
      <calculatedColumnFormula>WeeklyLog[[#This Row],[Lakeville Repair Tickets]]+WeeklyLog[[#This Row],[Lakeville PMs]]</calculatedColumnFormula>
    </tableColumn>
    <tableColumn id="8" xr3:uid="{8B96D422-70C6-413B-88C0-02987BEE57E8}" name="Combined Total" dataDxfId="1">
      <calculatedColumnFormula>WeeklyLog[[#This Row],[Burnsville Total]]+WeeklyLog[[#This Row],[Lakeville Total]]</calculatedColumnFormula>
    </tableColumn>
    <tableColumn id="9" xr3:uid="{523885D8-48C2-49DC-8CDF-4F86F11AD6A1}" name="Change vs Last Week" dataDxfId="0">
      <calculatedColumnFormula>IFERROR(WeeklyLog[[#This Row],[Combined Total]]-OFFSET(WeeklyLog[[#This Row],[Combined Total]],-1,0),"")</calculatedColumnFormula>
    </tableColumn>
  </tableColumns>
  <tableStyleInfo name="Weekly Log Style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3B0A-06FD-4F6C-BECC-32CA9848D96D}">
  <sheetPr/>
  <dimension ref="A1:N21"/>
  <sheetViews>
    <sheetView tabSelected="1" workbookViewId="0">
      <selection activeCell="A1" sqref="A1"/>
    </sheetView>
  </sheetViews>
  <sheetFormatPr defaultColWidth="9.140625" defaultRowHeight="15" x14ac:dyDescent="0.25"/>
  <cols>
    <col min="1" max="1" width="10.7109375" style="3" bestFit="1" customWidth="1"/>
    <col min="2" max="2" width="35.140625" style="4" bestFit="1" customWidth="1"/>
    <col min="3" max="3" width="9.140625" style="4"/>
    <col min="4" max="4" width="9.140625" style="4" customWidth="1"/>
    <col min="5" max="5" width="27" style="4" bestFit="1" customWidth="1"/>
    <col min="6" max="16384" width="9.140625" style="4"/>
  </cols>
  <sheetData>
    <row r="1" spans="1:14" x14ac:dyDescent="0.25">
      <c r="A1" s="7" t="s">
        <v>0</v>
      </c>
      <c r="B1" s="8">
        <v>46280</v>
      </c>
      <c r="D1" s="7" t="s">
        <v>0</v>
      </c>
      <c r="E1" s="8">
        <v>46286</v>
      </c>
      <c r="M1" s="7" t="s">
        <v>0</v>
      </c>
      <c r="N1" s="8"/>
    </row>
    <row r="2" spans="1:14" ht="18.75" x14ac:dyDescent="0.25">
      <c r="A2" s="16"/>
      <c r="B2" s="17"/>
      <c r="D2" s="16"/>
      <c r="E2" s="17"/>
      <c r="M2" s="16"/>
      <c r="N2" s="17"/>
    </row>
    <row r="3" spans="1:14" ht="15" customHeight="1" x14ac:dyDescent="0.25">
      <c r="A3" s="42" t="s">
        <v>1</v>
      </c>
      <c r="B3" s="42"/>
      <c r="D3" s="42" t="s">
        <v>1</v>
      </c>
      <c r="E3" s="42"/>
      <c r="M3" s="42" t="s">
        <v>1</v>
      </c>
      <c r="N3" s="42"/>
    </row>
    <row r="4" spans="1:14" ht="18.75" x14ac:dyDescent="0.25">
      <c r="A4" s="5">
        <v>11</v>
      </c>
      <c r="B4" s="6" t="s">
        <v>2</v>
      </c>
      <c r="D4" s="5">
        <v>7</v>
      </c>
      <c r="E4" s="6" t="s">
        <v>2</v>
      </c>
      <c r="M4" s="5"/>
      <c r="N4" s="6"/>
    </row>
    <row r="5" spans="1:14" ht="18.75" x14ac:dyDescent="0.25">
      <c r="A5" s="5">
        <v>3</v>
      </c>
      <c r="B5" s="6" t="s">
        <v>3</v>
      </c>
      <c r="D5" s="5">
        <v>6</v>
      </c>
      <c r="E5" s="6" t="s">
        <v>3</v>
      </c>
      <c r="M5" s="5"/>
      <c r="N5" s="6"/>
    </row>
    <row r="6" spans="1:14" ht="18.75" x14ac:dyDescent="0.25">
      <c r="A6" s="5">
        <f>SUM(A4+A5)</f>
        <v>14</v>
      </c>
      <c r="B6" s="6" t="s">
        <v>4</v>
      </c>
      <c r="D6" s="5">
        <f>SUM(D4+D5)</f>
        <v>13</v>
      </c>
      <c r="E6" s="6" t="s">
        <v>4</v>
      </c>
      <c r="M6" s="5"/>
      <c r="N6" s="6"/>
    </row>
    <row r="7" spans="1:14" x14ac:dyDescent="0.25">
      <c r="A7" s="4"/>
    </row>
    <row r="8" spans="1:14" ht="15" customHeight="1" x14ac:dyDescent="0.25">
      <c r="A8" s="43" t="s">
        <v>5</v>
      </c>
      <c r="B8" s="43"/>
      <c r="D8" s="43" t="s">
        <v>5</v>
      </c>
      <c r="E8" s="43"/>
      <c r="M8" s="43" t="s">
        <v>5</v>
      </c>
      <c r="N8" s="43"/>
    </row>
    <row r="9" spans="1:14" ht="18.75" x14ac:dyDescent="0.25">
      <c r="A9" s="5">
        <v>32</v>
      </c>
      <c r="B9" s="6" t="s">
        <v>2</v>
      </c>
      <c r="D9" s="5">
        <v>38</v>
      </c>
      <c r="E9" s="6" t="s">
        <v>2</v>
      </c>
      <c r="M9" s="5"/>
      <c r="N9" s="6"/>
    </row>
    <row r="10" spans="1:14" ht="18.75" x14ac:dyDescent="0.25">
      <c r="A10" s="5">
        <v>173</v>
      </c>
      <c r="B10" s="6" t="s">
        <v>3</v>
      </c>
      <c r="D10" s="5">
        <v>241</v>
      </c>
      <c r="E10" s="6" t="s">
        <v>3</v>
      </c>
      <c r="M10" s="5"/>
      <c r="N10" s="6"/>
    </row>
    <row r="11" spans="1:14" ht="18.75" x14ac:dyDescent="0.25">
      <c r="A11" s="5">
        <f>SUM(A9+A10)</f>
        <v>205</v>
      </c>
      <c r="B11" s="6" t="s">
        <v>4</v>
      </c>
      <c r="D11" s="5">
        <f>SUM(D9+D10)</f>
        <v>279</v>
      </c>
      <c r="E11" s="6" t="s">
        <v>4</v>
      </c>
      <c r="M11" s="5"/>
      <c r="N11" s="6"/>
    </row>
    <row r="12" spans="1:14" x14ac:dyDescent="0.25">
      <c r="D12" s="3"/>
      <c r="M12" s="3"/>
    </row>
    <row r="13" spans="1:14" ht="18.75" x14ac:dyDescent="0.25">
      <c r="A13" s="44" t="s">
        <v>6</v>
      </c>
      <c r="B13" s="44"/>
      <c r="D13" s="44" t="s">
        <v>6</v>
      </c>
      <c r="E13" s="44"/>
      <c r="M13" s="44" t="s">
        <v>6</v>
      </c>
      <c r="N13" s="44"/>
    </row>
    <row r="14" spans="1:14" ht="18.75" x14ac:dyDescent="0.25">
      <c r="A14" s="5">
        <f>SUM(A6+A11)</f>
        <v>219</v>
      </c>
      <c r="B14" s="6" t="s">
        <v>7</v>
      </c>
      <c r="D14" s="5">
        <f>SUM(D6+D11)</f>
        <v>292</v>
      </c>
      <c r="E14" s="6" t="s">
        <v>7</v>
      </c>
      <c r="M14" s="5"/>
      <c r="N14" s="6"/>
    </row>
    <row r="15" spans="1:14" x14ac:dyDescent="0.25">
      <c r="D15" s="3"/>
      <c r="M15" s="3"/>
    </row>
    <row r="16" spans="1:14" x14ac:dyDescent="0.25">
      <c r="A16" s="31"/>
      <c r="D16" s="31"/>
      <c r="M16" s="31"/>
    </row>
    <row r="17" spans="4:13" x14ac:dyDescent="0.25">
      <c r="D17" s="3"/>
      <c r="M17" s="3"/>
    </row>
    <row r="18" spans="4:13" x14ac:dyDescent="0.25">
      <c r="D18" s="3"/>
      <c r="M18" s="3"/>
    </row>
    <row r="19" spans="4:13" x14ac:dyDescent="0.25">
      <c r="D19" s="3"/>
      <c r="M19" s="3"/>
    </row>
    <row r="20" spans="4:13" x14ac:dyDescent="0.25">
      <c r="D20" s="3"/>
      <c r="M20" s="3"/>
    </row>
    <row r="21" spans="4:13" x14ac:dyDescent="0.25">
      <c r="D21" s="3"/>
    </row>
  </sheetData>
  <mergeCells count="9">
    <mergeCell ref="M3:N3"/>
    <mergeCell ref="M8:N8"/>
    <mergeCell ref="M13:N13"/>
    <mergeCell ref="A3:B3"/>
    <mergeCell ref="A8:B8"/>
    <mergeCell ref="A13:B13"/>
    <mergeCell ref="D13:E13"/>
    <mergeCell ref="D8:E8"/>
    <mergeCell ref="D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E489-8187-49B9-8AA2-7AB51891C5DB}">
  <sheetPr>
    <pageSetUpPr fitToPage="1"/>
  </sheetPr>
  <dimension ref="A1:I23"/>
  <sheetViews>
    <sheetView showGridLines="0" zoomScaleNormal="100" workbookViewId="0">
      <selection activeCell="B26" sqref="B26"/>
    </sheetView>
  </sheetViews>
  <sheetFormatPr defaultRowHeight="15" x14ac:dyDescent="0.25"/>
  <cols>
    <col min="1" max="1" width="13.7109375" customWidth="1"/>
    <col min="2" max="2" width="23" customWidth="1"/>
    <col min="3" max="4" width="15.7109375" customWidth="1"/>
    <col min="5" max="5" width="22.140625" customWidth="1"/>
    <col min="6" max="7" width="15.7109375" customWidth="1"/>
    <col min="8" max="8" width="16.28515625" customWidth="1"/>
    <col min="9" max="9" width="20.42578125" customWidth="1"/>
  </cols>
  <sheetData>
    <row r="1" spans="1:1" ht="25.9" customHeight="1" x14ac:dyDescent="0.35">
      <c r="A1" s="32" t="s">
        <v>8</v>
      </c>
    </row>
    <row r="2" spans="1:1" x14ac:dyDescent="0.25">
      <c r="A2" s="33"/>
    </row>
    <row r="21" spans="1:9" ht="31.9" customHeight="1" x14ac:dyDescent="0.25">
      <c r="A21" s="34" t="s">
        <v>9</v>
      </c>
      <c r="B21" s="35" t="s">
        <v>10</v>
      </c>
      <c r="C21" s="35" t="s">
        <v>11</v>
      </c>
      <c r="D21" s="35" t="s">
        <v>12</v>
      </c>
      <c r="E21" s="36" t="s">
        <v>13</v>
      </c>
      <c r="F21" s="36" t="s">
        <v>14</v>
      </c>
      <c r="G21" s="36" t="s">
        <v>15</v>
      </c>
      <c r="H21" s="37" t="s">
        <v>16</v>
      </c>
      <c r="I21" s="37" t="s">
        <v>17</v>
      </c>
    </row>
    <row r="22" spans="1:9" x14ac:dyDescent="0.25">
      <c r="A22" s="39">
        <v>46280</v>
      </c>
      <c r="B22" s="38">
        <v>11</v>
      </c>
      <c r="C22" s="38">
        <v>3</v>
      </c>
      <c r="D22" s="40">
        <f>WeeklyLog[[#This Row],[Burnsville Repair Tickets]]+WeeklyLog[[#This Row],[Burnsville PMs]]</f>
        <v>14</v>
      </c>
      <c r="E22" s="38">
        <v>32</v>
      </c>
      <c r="F22" s="38">
        <v>173</v>
      </c>
      <c r="G22" s="40">
        <f>WeeklyLog[[#This Row],[Lakeville Repair Tickets]]+WeeklyLog[[#This Row],[Lakeville PMs]]</f>
        <v>205</v>
      </c>
      <c r="H22" s="40">
        <f>WeeklyLog[[#This Row],[Burnsville Total]]+WeeklyLog[[#This Row],[Lakeville Total]]</f>
        <v>219</v>
      </c>
      <c r="I22" s="41" t="str">
        <f ca="1">IFERROR(WeeklyLog[[#This Row],[Combined Total]]-OFFSET(WeeklyLog[[#This Row],[Combined Total]],-1,0),"")</f>
        <v/>
      </c>
    </row>
    <row r="23">
      <c r="A23" s="39">
        <v>46286</v>
      </c>
      <c r="B23" s="38">
        <v>7</v>
      </c>
      <c r="C23" s="38">
        <v>6</v>
      </c>
      <c r="D23" s="40">
        <f>WeeklyLog[[#This Row],[Burnsville Repair Tickets]]+WeeklyLog[[#This Row],[Burnsville PMs]]</f>
        <v>13</v>
      </c>
      <c r="E23" s="38">
        <v>38</v>
      </c>
      <c r="F23" s="38">
        <v>241</v>
      </c>
      <c r="G23" s="40">
        <f>WeeklyLog[[#This Row],[Lakeville Repair Tickets]]+WeeklyLog[[#This Row],[Lakeville PMs]]</f>
        <v>279</v>
      </c>
      <c r="H23" s="40">
        <f>WeeklyLog[[#This Row],[Burnsville Total]]+WeeklyLog[[#This Row],[Lakeville Total]]</f>
        <v>292</v>
      </c>
      <c r="I23" s="41">
        <f ca="1">IFERROR(WeeklyLog[[#This Row],[Combined Total]]-OFFSET(WeeklyLog[[#This Row],[Combined Total]],-1,0),"")</f>
        <v>73</v>
      </c>
    </row>
  </sheetData>
  <conditionalFormatting sqref="I22:I1000">
    <cfRule type="expression" dxfId="12" priority="1" stopIfTrue="1">
      <formula>AND(ISNUMBER(I22),I22&gt;0)</formula>
    </cfRule>
    <cfRule type="expression" dxfId="11" priority="2" stopIfTrue="1">
      <formula>AND(ISNUMBER(I22),I22&lt;0)</formula>
    </cfRule>
  </conditionalFormatting>
  <printOptions horizontalCentered="1"/>
  <pageMargins left="0.7" right="0.7" top="0.75" bottom="0.75" header="0.3" footer="0.3"/>
  <pageSetup scale="77" fitToHeight="0" orientation="landscape" r:id="rId1"/>
  <drawing r:id="rId2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02036B19-3590-4F2A-9514-5DD87AFCDB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Totals</vt:lpstr>
      <vt:lpstr>Sheet1!chart_BV</vt:lpstr>
      <vt:lpstr>Sheet1!chart_CO</vt:lpstr>
      <vt:lpstr>Sheet1!chart_LV</vt:lpstr>
      <vt:lpstr>Sheet1!chart_Week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Kristine Michael</dc:creator>
  <cp:keywords/>
  <dc:description/>
  <cp:lastModifiedBy>Jonathan Weber</cp:lastModifiedBy>
  <cp:revision/>
  <cp:lastPrinted>2026-09-21T22:34:11Z</cp:lastPrinted>
  <dcterms:created xsi:type="dcterms:W3CDTF">2022-03-30T13:23:41Z</dcterms:created>
  <dcterms:modified xsi:type="dcterms:W3CDTF">2026-09-21T22:35:46Z</dcterms:modified>
  <cp:category/>
  <cp:contentStatus/>
</cp:coreProperties>
</file>