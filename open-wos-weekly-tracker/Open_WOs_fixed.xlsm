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tables/table1.xml" ContentType="application/vnd.openxmlformats-officedocument.spreadsheetml.table+xml"/>
  <Override PartName="/xl/comments2.xml" ContentType="application/vnd.openxmlformats-officedocument.spreadsheetml.comments+xml"/>
  <Override PartName="/xl/charts/chart1.xml" ContentType="application/vnd.openxmlformats-officedocument.drawingml.chart+xml"/>
  <Override PartName="/xl/persons/person.xml" ContentType="application/vnd.ms-excel.perso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worksheets/sheet5.xml" ContentType="application/vnd.openxmlformats-officedocument.spreadsheetml.worksheet+xml"/>
  <Override PartName="/xl/drawings/drawing2.xml" ContentType="application/vnd.openxmlformats-officedocument.drawing+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ThisWorkbook" defaultThemeVersion="166925"/>
  <mc:AlternateContent xmlns:mc="http://schemas.openxmlformats.org/markup-compatibility/2006">
    <mc:Choice Requires="x15">
      <x15ac:absPath xmlns:x15ac="http://schemas.microsoft.com/office/spreadsheetml/2010/11/ac" url="https://pbhcorp-my.sharepoint.com/personal/jonathan_weber_buddyskitchen_com/Documents/Desktop/"/>
    </mc:Choice>
  </mc:AlternateContent>
  <xr:revisionPtr revIDLastSave="2" documentId="8_{13A66354-4290-446E-B311-AE1A5843A5C8}" xr6:coauthVersionLast="47" xr6:coauthVersionMax="47" xr10:uidLastSave="{0EE88116-21C8-4AA4-8C62-316F6907B512}"/>
  <bookViews>
    <workbookView xWindow="285" yWindow="1275" windowWidth="25260" windowHeight="13695" xr2:uid="{C7DEE03B-6693-435C-9B90-2E0F24388ABA}"/>
  </bookViews>
  <sheets>
    <sheet name="Totals" sheetId="2" r:id="rId1"/>
    <sheet name="Weekly History" sheetId="17" r:id="rId2"/>
    <sheet name="Sheet1" sheetId="18" r:id="rId12"/>
    <sheet name="Calculation" sheetId="1" state="hidden" r:id="rId3"/>
    <sheet name="Directions" sheetId="16" r:id="rId4"/>
  </sheets>
  <definedNames>
    <definedName name="_xlnm._FilterDatabase" localSheetId="3" hidden="1">Calculation!$A$2:$N$500</definedName>
    <definedName name="chart_BV" localSheetId="1">WeeklyLog[Burnsville Total]</definedName>
    <definedName name="chart_CO" localSheetId="1">WeeklyLog[Combined Total]</definedName>
    <definedName name="chart_LV" localSheetId="1">WeeklyLog[Lakeville Total]</definedName>
    <definedName name="chart_Week" localSheetId="1">WeeklyLog[Week Of]</definedName>
    <definedName name="last_BV" localSheetId="1">IF(WeeklyLog[Week Of]=MAX(WeeklyLog[Week Of]),WeeklyLog[Burnsville Total],NA())</definedName>
    <definedName name="last_CO" localSheetId="1">IF(WeeklyLog[Week Of]=MAX(WeeklyLog[Week Of]),WeeklyLog[Combined Total],NA())</definedName>
    <definedName name="last_LV" localSheetId="1">IF(WeeklyLog[Week Of]=MAX(WeeklyLog[Week Of]),WeeklyLog[Lakeville Total],NA())</definedName>
  </definedNames>
  <calcPr calcId="191029" fullCalcOn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Jonathan Weber</author>
  </authors>
  <commentList>
    <comment ref="A4" authorId="0" shapeId="0" xr:uid="{5CDB1730-0155-4E93-90CA-39E70BC2A076}">
      <text>
        <r>
          <rPr>
            <b/>
            <sz val="9"/>
            <color indexed="81"/>
            <rFont val="Tahoma"/>
            <family val="2"/>
          </rPr>
          <t>Counts come from the TabWare data pasted in Sheet1: repair tickets = every work order that is not a PM; PMs = work order numbers starting with PM.</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Jonathan Weber</author>
  </authors>
  <commentList>
    <comment ref="A22" authorId="0" shapeId="0" xr:uid="{3A326DB4-64C6-4E09-A68C-31D506C5C692}">
      <text>
        <r>
          <rPr>
            <b/>
            <sz val="9"/>
            <color indexed="81"/>
            <rFont val="Tahoma"/>
            <family val="2"/>
          </rPr>
          <t>Starting point: the numbers on the Totals tab dated 9/15/2026. Those were typed in by hand, before the Totals tab counted Sheet1 automatically.</t>
        </r>
      </text>
    </comment>
  </commentList>
</comments>
</file>

<file path=xl/sharedStrings.xml><?xml version="1.0" encoding="utf-8"?>
<sst xmlns="http://schemas.openxmlformats.org/spreadsheetml/2006/main" count="1633" uniqueCount="583">
  <si>
    <t>DATE</t>
  </si>
  <si>
    <t>BURNSVILLE</t>
  </si>
  <si>
    <t>OPEN REPAIR TICKETS</t>
  </si>
  <si>
    <t xml:space="preserve">OPEN PMS </t>
  </si>
  <si>
    <t>TOTAL</t>
  </si>
  <si>
    <t>LAKEVILLE</t>
  </si>
  <si>
    <t>COMBINED</t>
  </si>
  <si>
    <t>TOTAL OPEN IN BOTH PLANTS</t>
  </si>
  <si>
    <t>Work Order #</t>
  </si>
  <si>
    <t>Area Description</t>
  </si>
  <si>
    <t>Priority</t>
  </si>
  <si>
    <t>Entered Date</t>
  </si>
  <si>
    <t>Requested Completion</t>
  </si>
  <si>
    <t>Status Description</t>
  </si>
  <si>
    <t>Work Order Description</t>
  </si>
  <si>
    <t>Equipment Description</t>
  </si>
  <si>
    <t>Long Description</t>
  </si>
  <si>
    <t>Requestor</t>
  </si>
  <si>
    <t>Assigned To Name</t>
  </si>
  <si>
    <t>Craft Actual Hours</t>
  </si>
  <si>
    <t>Completion Remarks</t>
  </si>
  <si>
    <t>RT003813</t>
  </si>
  <si>
    <t>01 IM</t>
  </si>
  <si>
    <t>20-Approved</t>
  </si>
  <si>
    <t>______BURNSVILLE PRINTER INK_STANDING WO</t>
  </si>
  <si>
    <t>BURNSVILLE PLANT</t>
  </si>
  <si>
    <t>Standing work order for any ink used in Burnsville.</t>
  </si>
  <si>
    <t>RT004467</t>
  </si>
  <si>
    <t>Mix room wall needs to be resealed/fixed</t>
  </si>
  <si>
    <t>PRODUCTION</t>
  </si>
  <si>
    <t>NW wall needs to be fixed ASAP, can see wood frame. Water will get inside.</t>
  </si>
  <si>
    <t>tdin</t>
  </si>
  <si>
    <t>_x000D_
===== jgra, 11/7/2023 11:38:19 AM =====_x000D_
jake and thor filled back wall with expanding foam.  tried pulling wall out with lag bolts but was was hit too hard at some point and 
will not pull back to existing spot.  wall was siliconed at the seams._x000D_
_x000D_
=====</t>
  </si>
  <si>
    <t>PM005149</t>
  </si>
  <si>
    <t>02 HI</t>
  </si>
  <si>
    <t>RISCO HOPPER REBUILD _ ANNUAL</t>
  </si>
  <si>
    <t>RISCO #01</t>
  </si>
  <si>
    <t>ANNUAL REBUILD PM - SEE INSTRUCTIONS UNDER PLANNING.</t>
  </si>
  <si>
    <t>PM005152</t>
  </si>
  <si>
    <t>RISCO #03</t>
  </si>
  <si>
    <t>PM005151</t>
  </si>
  <si>
    <t>RISCO #04</t>
  </si>
  <si>
    <t>PM005153</t>
  </si>
  <si>
    <t>RISCO #22</t>
  </si>
  <si>
    <t>PM005150</t>
  </si>
  <si>
    <t>RISCO #23</t>
  </si>
  <si>
    <t>PM005499</t>
  </si>
  <si>
    <t>FREEZER / COOLER _ MONTHLY</t>
  </si>
  <si>
    <t>COOLER #01 MAIN</t>
  </si>
  <si>
    <t>MONTHLY PM - SEE INSTRUCTIONS UNDER PLANNING.</t>
  </si>
  <si>
    <t>PM005496</t>
  </si>
  <si>
    <t>FREEZER #01 AIRLINE</t>
  </si>
  <si>
    <t>PM005498</t>
  </si>
  <si>
    <t>FREEZER #02 BLAST</t>
  </si>
  <si>
    <t>PM005663</t>
  </si>
  <si>
    <t>WATER SOFTENER _ WEEKLY</t>
  </si>
  <si>
    <t>WEEKLY PM - SEE INSTRUCTIONS UNDER PLANNING.</t>
  </si>
  <si>
    <t>Robin Seeram</t>
  </si>
  <si>
    <t>PM005661</t>
  </si>
  <si>
    <t>LVO PAN WASHER _ WEEKLY</t>
  </si>
  <si>
    <t>PAN WASHER LVO</t>
  </si>
  <si>
    <t>PM005672</t>
  </si>
  <si>
    <t>PALLET TIPPER_WEEKLY</t>
  </si>
  <si>
    <t>PALLET TIPPER #01 TOPPY</t>
  </si>
  <si>
    <t>PM005511</t>
  </si>
  <si>
    <t>MIXER _ MONTHLY</t>
  </si>
  <si>
    <t>BLENDER #01 DMX 300</t>
  </si>
  <si>
    <t>PM005524</t>
  </si>
  <si>
    <t>RISCO _ MONTHLY</t>
  </si>
  <si>
    <t>PM005523</t>
  </si>
  <si>
    <t>PM005525</t>
  </si>
  <si>
    <t>PM005522</t>
  </si>
  <si>
    <t>PM005528</t>
  </si>
  <si>
    <t>WRAPPER STRATUS _ MONTHLY</t>
  </si>
  <si>
    <t>WRAPPER #07 STRATUS</t>
  </si>
  <si>
    <t>PM005529</t>
  </si>
  <si>
    <t>WRAPPER TEXWRAP _ MONTHLY</t>
  </si>
  <si>
    <t>WRAPPER #13 TEXWRAP</t>
  </si>
  <si>
    <t>PM005609</t>
  </si>
  <si>
    <t>COMPRESSOR AREA _ QUARTERLY</t>
  </si>
  <si>
    <t>WAREHOUSE</t>
  </si>
  <si>
    <t>QUARTERLY PM - SEE INSTRUCTIONS UNDER PLANNING.</t>
  </si>
  <si>
    <t>PM005581</t>
  </si>
  <si>
    <t>CONVEYOR _ QUARTERLY</t>
  </si>
  <si>
    <t>CONVEYOR #001 QUALITY</t>
  </si>
  <si>
    <t>PM005585</t>
  </si>
  <si>
    <t>CONVEYOR #039</t>
  </si>
  <si>
    <t>PM005602</t>
  </si>
  <si>
    <t>CASE PRINTER KEYENCE _ MONTHLY</t>
  </si>
  <si>
    <t>CASE PRINTER #17 KEYENCE</t>
  </si>
  <si>
    <t>PM005599</t>
  </si>
  <si>
    <t>COOLER #02 STAGING</t>
  </si>
  <si>
    <t>PM005600</t>
  </si>
  <si>
    <t>FREEZER SPIRAL _ MONTHLY</t>
  </si>
  <si>
    <t>FREEZER #03 SPIRAL</t>
  </si>
  <si>
    <t>PM005598</t>
  </si>
  <si>
    <t>FREEZER #04 BRANDED</t>
  </si>
  <si>
    <t>PM005594</t>
  </si>
  <si>
    <t>METAL DETECTOR _ MONTHLY</t>
  </si>
  <si>
    <t>METAL DETECTOR #07 METTLER TOLEDO</t>
  </si>
  <si>
    <t>PM005592</t>
  </si>
  <si>
    <t>METAL DETECTOR #09 METTLER TOLEDO</t>
  </si>
  <si>
    <t>PM005593</t>
  </si>
  <si>
    <t>METAL DETECTOR #10 BOSTON GEAR</t>
  </si>
  <si>
    <t>PM005596</t>
  </si>
  <si>
    <t>METAL DETECTOR #13 METTLER TOLEDO</t>
  </si>
  <si>
    <t>PM005595</t>
  </si>
  <si>
    <t>METAL DETECTOR #15 MATTLER TOLEDO</t>
  </si>
  <si>
    <t>PM005597</t>
  </si>
  <si>
    <t>THERMAL TRANSFER PRINTER _ MONTHLY</t>
  </si>
  <si>
    <t>THRML TRANSFR PRINTER #11 MARKEM</t>
  </si>
  <si>
    <t>PM005603</t>
  </si>
  <si>
    <t>BLENDER #05 DMX 300</t>
  </si>
  <si>
    <t>PM005606</t>
  </si>
  <si>
    <t>THRML TRANSFR PRINTER #06 MARKEM</t>
  </si>
  <si>
    <t>PM005604</t>
  </si>
  <si>
    <t>THRML TRANSFR PRINTER #08 MARKEM</t>
  </si>
  <si>
    <t>PM005605</t>
  </si>
  <si>
    <t>THRML TRANSFR PRINTER #10 MARKEM</t>
  </si>
  <si>
    <t>PM005612</t>
  </si>
  <si>
    <t>CONVEYOR #032</t>
  </si>
  <si>
    <t>PM005611</t>
  </si>
  <si>
    <t>CONVEYOR #034</t>
  </si>
  <si>
    <t>PM005616</t>
  </si>
  <si>
    <t>BLENDER #04 DMX 300</t>
  </si>
  <si>
    <t>PM005615</t>
  </si>
  <si>
    <t>BLENDER #07 DMX 300HD</t>
  </si>
  <si>
    <t>PM005618</t>
  </si>
  <si>
    <t>THRML TRANSFR PRINTER #07 MARKEM</t>
  </si>
  <si>
    <t>PM005617</t>
  </si>
  <si>
    <t>THRML TRANSFR PRINTER #09 MARKEM</t>
  </si>
  <si>
    <t>PM005622</t>
  </si>
  <si>
    <t>BREAD SLICER _ MONTHLY</t>
  </si>
  <si>
    <t>BREAD SLICER IPEKA #02</t>
  </si>
  <si>
    <t>PM005626</t>
  </si>
  <si>
    <t>LINIUM _ MONTHLY</t>
  </si>
  <si>
    <t>WRAPPER #12 LINIUM 301</t>
  </si>
  <si>
    <t>PM005633</t>
  </si>
  <si>
    <t>CASE PRINTER MARKEM _ MONTHLY</t>
  </si>
  <si>
    <t>CASE PRINTER #06 MARKEM INKJET 9450</t>
  </si>
  <si>
    <t>PM005634</t>
  </si>
  <si>
    <t>CASE PRINTER #12 MARKEM INKJET 5800</t>
  </si>
  <si>
    <t>PM005632</t>
  </si>
  <si>
    <t>CASE PRINTER #13 MARKEM INKJET 5800</t>
  </si>
  <si>
    <t>PM005631</t>
  </si>
  <si>
    <t>DEPOSITOR_MONTHLY</t>
  </si>
  <si>
    <t>DEPOSITOR #04 VOLUMETRIC</t>
  </si>
  <si>
    <t>PM005628</t>
  </si>
  <si>
    <t>WEBER LABELER _ MONTHLY</t>
  </si>
  <si>
    <t>LABELER #29 WEBER ALPHA CONV 044</t>
  </si>
  <si>
    <t>PM005629</t>
  </si>
  <si>
    <t>LABELER #30 WEBER ALPHA CONV 044</t>
  </si>
  <si>
    <t>PM005635</t>
  </si>
  <si>
    <t>THRML TRANSFR PRINTER #12 MARKEM</t>
  </si>
  <si>
    <t>PM005637</t>
  </si>
  <si>
    <t>METAL DETECTOR #08 METTLER TOLEDO</t>
  </si>
  <si>
    <t>PM005656</t>
  </si>
  <si>
    <t>BLENDER #02 DMX 300</t>
  </si>
  <si>
    <t>PM005655</t>
  </si>
  <si>
    <t>BLENDER #06 DMX 300</t>
  </si>
  <si>
    <t>PM005654</t>
  </si>
  <si>
    <t>HEAT TUNNEL _ QUARTERLY</t>
  </si>
  <si>
    <t>HEAT TUNNEL #03 EASTEY</t>
  </si>
  <si>
    <t>PM005652</t>
  </si>
  <si>
    <t>LABELER #27 WEBER ALPHA CONV 044</t>
  </si>
  <si>
    <t>PM005653</t>
  </si>
  <si>
    <t>LABELER #28 WEBER ALPHA CONV 044</t>
  </si>
  <si>
    <t>PM005660</t>
  </si>
  <si>
    <t>ADCO CARTONER _ MONTHLY</t>
  </si>
  <si>
    <t>CARTONER #7 ADCO</t>
  </si>
  <si>
    <t>PM005662</t>
  </si>
  <si>
    <t>WRAPPER #11 LINIUM 311</t>
  </si>
  <si>
    <t>PM005666</t>
  </si>
  <si>
    <t>CASE PRINTER #15 KEYENCE</t>
  </si>
  <si>
    <t>PM005667</t>
  </si>
  <si>
    <t>CASE PRINTER #16 KEYENCE</t>
  </si>
  <si>
    <t>PM005664</t>
  </si>
  <si>
    <t>METAL DETECTOR #12 METTLER TOLEDO</t>
  </si>
  <si>
    <t>PM005665</t>
  </si>
  <si>
    <t>METAL DETECTOR #14 METTLER TOLEDO</t>
  </si>
  <si>
    <t>PM005670</t>
  </si>
  <si>
    <t>CASE PRINTER #05 MARKEM INKJET 9450</t>
  </si>
  <si>
    <t>PM005671</t>
  </si>
  <si>
    <t>CASE PRINTER #08 MARKEM INKJET 9450</t>
  </si>
  <si>
    <t>PM005669</t>
  </si>
  <si>
    <t>DEPOSITOR #01 VOLUMETRIC</t>
  </si>
  <si>
    <t>PM005668</t>
  </si>
  <si>
    <t>WRAPPER BETA MUSTANG IV _ MONTHLY</t>
  </si>
  <si>
    <t>WRAPPER #10 BETA</t>
  </si>
  <si>
    <t>PM005674</t>
  </si>
  <si>
    <t>CASE PRINTER #14 MARKEM INKJET 5800</t>
  </si>
  <si>
    <t>RT003159</t>
  </si>
  <si>
    <t>03 MD</t>
  </si>
  <si>
    <t>Emergency Lighting</t>
  </si>
  <si>
    <t>The X's on the map indicate emergency lights that do not function 99% should just need new batteries.</t>
  </si>
  <si>
    <t>bmap</t>
  </si>
  <si>
    <t>RT003172</t>
  </si>
  <si>
    <t>Broken Racking Again</t>
  </si>
  <si>
    <t>Bent out upright inside airline cooler on north side by entrance. Take down, replace if possible.</t>
  </si>
  <si>
    <t>Jason Leaders</t>
  </si>
  <si>
    <t>===== jlea, 5/25/2023 11:49:10 AM =====_x000D_
Racking project in in development. Quoted amount too high for justification.</t>
  </si>
  <si>
    <t>RT004281</t>
  </si>
  <si>
    <t>Mix room floor cracked</t>
  </si>
  <si>
    <t>There is a large crack and pieces missing on the floor of the mix room.</t>
  </si>
  <si>
    <t>RT004313</t>
  </si>
  <si>
    <t>L22 Womens Bathroom lower wall chunks</t>
  </si>
  <si>
    <t>Pieces of the wall are missing in the womens bathroom along where the wall meets the floor.</t>
  </si>
  <si>
    <t>RT004312</t>
  </si>
  <si>
    <t>Cardboard Storage Wall holes</t>
  </si>
  <si>
    <t>There are multiple holes and punctures in the wall from forklifts.</t>
  </si>
  <si>
    <t>RT004478</t>
  </si>
  <si>
    <t>REPLACE LABLER INTERFACE.</t>
  </si>
  <si>
    <t>jgra</t>
  </si>
  <si>
    <t>RT004497</t>
  </si>
  <si>
    <t>Warehouse Exit sign</t>
  </si>
  <si>
    <t>Exit sign between door 3 &amp; 4 is damaged.</t>
  </si>
  <si>
    <t>RT004500</t>
  </si>
  <si>
    <t>Rebuild</t>
  </si>
  <si>
    <t>Shaft needs to be replaced. Replace all bearings.</t>
  </si>
  <si>
    <t>jlea</t>
  </si>
  <si>
    <t>RT004488</t>
  </si>
  <si>
    <t>PARTS</t>
  </si>
  <si>
    <t>Dock Door #1</t>
  </si>
  <si>
    <t>DOCK DOOR #01</t>
  </si>
  <si>
    <t>Material on order from Star Equipment, to fix the dock door seals.</t>
  </si>
  <si>
    <t>jboo</t>
  </si>
  <si>
    <t>RT004489</t>
  </si>
  <si>
    <t>Dock Door #2</t>
  </si>
  <si>
    <t>DOCK DOOR #02</t>
  </si>
  <si>
    <t>RT004490</t>
  </si>
  <si>
    <t>Dock Door #3</t>
  </si>
  <si>
    <t>DOCK DOOR #03</t>
  </si>
  <si>
    <t>RT004491</t>
  </si>
  <si>
    <t>Dock Door #4</t>
  </si>
  <si>
    <t>DOCK DOOR #04</t>
  </si>
  <si>
    <t>RT004492</t>
  </si>
  <si>
    <t>Dock Door #5</t>
  </si>
  <si>
    <t>DOCK DOOR #05</t>
  </si>
  <si>
    <t>RT004493</t>
  </si>
  <si>
    <t>Dock Door #7</t>
  </si>
  <si>
    <t>DOCK DOOR #07</t>
  </si>
  <si>
    <t>RT004494</t>
  </si>
  <si>
    <t>Dock Door #8</t>
  </si>
  <si>
    <t>DOCK DOOR #08</t>
  </si>
  <si>
    <t>RT004495</t>
  </si>
  <si>
    <t>Dock Door #9</t>
  </si>
  <si>
    <t>DOCK DOOR #09</t>
  </si>
  <si>
    <t>EM000529</t>
  </si>
  <si>
    <t>Wrapper # 4</t>
  </si>
  <si>
    <t>WRAPPER #04 PACK 201</t>
  </si>
  <si>
    <t>Cuttings heads on wrapper still not meshing together right.</t>
  </si>
  <si>
    <t>jfau</t>
  </si>
  <si>
    <t>PM005448</t>
  </si>
  <si>
    <t>WRAPPER PACK 201 &amp; 202 _ MONTHLY</t>
  </si>
  <si>
    <t>WRAPPER #14 PACK 201</t>
  </si>
  <si>
    <t>PM005453</t>
  </si>
  <si>
    <t>CASE PRINTER #01 MARKEM INKJET 5800</t>
  </si>
  <si>
    <t>PM005464</t>
  </si>
  <si>
    <t>CONVEYOR #002 QUALITY</t>
  </si>
  <si>
    <t>PM005470</t>
  </si>
  <si>
    <t>BOOT SCRUBBER _ QUARTERLY</t>
  </si>
  <si>
    <t>BOOT SCRUBBER #01 NIEROS BSX1000</t>
  </si>
  <si>
    <t>PM005469</t>
  </si>
  <si>
    <t>CONVEYOR #022 QUALITY</t>
  </si>
  <si>
    <t>PM005474</t>
  </si>
  <si>
    <t>CASE PRINTER #02 MARKEM INKJET 5800</t>
  </si>
  <si>
    <t>PM005482</t>
  </si>
  <si>
    <t>HVAC _ MONTHLY</t>
  </si>
  <si>
    <t>HVAC KING LOWER ROOF</t>
  </si>
  <si>
    <t>PM005481</t>
  </si>
  <si>
    <t>HVAC RUPP I&amp;D</t>
  </si>
  <si>
    <t>PM005480</t>
  </si>
  <si>
    <t>HVAC RUPP LOWER ROOF</t>
  </si>
  <si>
    <t>PM005483</t>
  </si>
  <si>
    <t>HVAC TEST KITCHEN NORTH</t>
  </si>
  <si>
    <t>PM005478</t>
  </si>
  <si>
    <t>METAL DETECTOR #03 METTLER TOLEDO</t>
  </si>
  <si>
    <t>PM005515</t>
  </si>
  <si>
    <t>COMPRESSOR _ QUARTERLY</t>
  </si>
  <si>
    <t>AIR COMPRESSOR #01 HYDROVANE</t>
  </si>
  <si>
    <t>2,000 HOUR PM - SEE INSTRUCTIONS UNDER PLANNING._x000D_
_x000D_
NEED TO ORDER FROM JH FOSTER:_x000D_
(QTY 1) GAR 57562 _ G/D OIL FILTER HV11-HV22_x000D_
(QTY 1) GAR 100001611 _ G/D AIR FILTER ELEMENT HV11-22 &amp; L15-22_x000D_
(QTY 1) GAR A13010174 _ G/D AIR/OIL SEPARATOR HV15-18-22_x000D_
(QTY 1) GAR 77038 _ G/D CABINET FILTER RV11- 22 new THIN STYLE_x000D_
(QTY 2) GAR CS-300 _ G/D #K0083531 OIL -1 GAL COMPAIR</t>
  </si>
  <si>
    <t>PM005490</t>
  </si>
  <si>
    <t>FREEZER #08 LARGE SPIRAL</t>
  </si>
  <si>
    <t>PM005489</t>
  </si>
  <si>
    <t>METAL DETECTOR #04 METTLER TOLEDO</t>
  </si>
  <si>
    <t>PM005493</t>
  </si>
  <si>
    <t>CONVEYOR #051</t>
  </si>
  <si>
    <t>PM005497</t>
  </si>
  <si>
    <t>COOLER #03 EAST</t>
  </si>
  <si>
    <t>PM005495</t>
  </si>
  <si>
    <t>METAL DETECTOR #05 METTLER TOLEDO</t>
  </si>
  <si>
    <t>PM005494</t>
  </si>
  <si>
    <t>METAL DETECTOR #11 METTLER TOLEDO</t>
  </si>
  <si>
    <t>PM005508</t>
  </si>
  <si>
    <t>COOLER #04 WEST</t>
  </si>
  <si>
    <t>PM005500</t>
  </si>
  <si>
    <t>DATE CODER SQUID INK _ QUARTERLY</t>
  </si>
  <si>
    <t>DATE CODER #04 SQUID INK 382</t>
  </si>
  <si>
    <t>PM005514</t>
  </si>
  <si>
    <t>FREEZER #05 BLAST</t>
  </si>
  <si>
    <t>PM005513</t>
  </si>
  <si>
    <t>FREEZER #07 I&amp;D</t>
  </si>
  <si>
    <t>PM005630</t>
  </si>
  <si>
    <t>CARTONER #8 ADCO</t>
  </si>
  <si>
    <t>PM005517</t>
  </si>
  <si>
    <t>LABELER #31 WEBER ALPHA HSM-CC</t>
  </si>
  <si>
    <t>PM005516</t>
  </si>
  <si>
    <t>LABELER #32 WEBER ALPHA HSM-CC</t>
  </si>
  <si>
    <t>PM005518</t>
  </si>
  <si>
    <t>METAL DETECTOR #01 METTLER TOLEDO</t>
  </si>
  <si>
    <t>PM005542</t>
  </si>
  <si>
    <t>ADCO CARTONER _ QUARTERLY</t>
  </si>
  <si>
    <t>CARTONER #3 ADCO</t>
  </si>
  <si>
    <t>PM005541</t>
  </si>
  <si>
    <t>CARTONER #4 ADCO</t>
  </si>
  <si>
    <t>PM005547</t>
  </si>
  <si>
    <t>EVAPORATOR [FORCED AIR] _ MONTHLY</t>
  </si>
  <si>
    <t>EVAPORATOR #01 AU504 STORAGE FREEZER</t>
  </si>
  <si>
    <t>PM005578</t>
  </si>
  <si>
    <t>EVAPORATOR [FORCED AIR] _ SEMI-ANNUAL</t>
  </si>
  <si>
    <t>SEMI-ANNUAL PM - SEE INSTRUCTIONS UNDER PLANNING.</t>
  </si>
  <si>
    <t>PM005546</t>
  </si>
  <si>
    <t>EVAPORATOR #02 AU505 STORAGE FREEZER</t>
  </si>
  <si>
    <t>PM005577</t>
  </si>
  <si>
    <t>PM005552</t>
  </si>
  <si>
    <t>EVAPORATOR #03 AU506 TOASTER ROOM</t>
  </si>
  <si>
    <t>PM005575</t>
  </si>
  <si>
    <t>PM005545</t>
  </si>
  <si>
    <t>EVAPORATOR #04 507 PRODUCTION ROOM</t>
  </si>
  <si>
    <t>PM005574</t>
  </si>
  <si>
    <t>PM005548</t>
  </si>
  <si>
    <t>EVAPORATOR #05 508 PRODUCTION ROOM</t>
  </si>
  <si>
    <t>PM005573</t>
  </si>
  <si>
    <t>PM005561</t>
  </si>
  <si>
    <t>EVAPORATOR #06 509 PRODUCTION ROOM</t>
  </si>
  <si>
    <t>PM005571</t>
  </si>
  <si>
    <t>PM005559</t>
  </si>
  <si>
    <t>EVAPORATOR #07 LARGE SPIRAL FREEZER</t>
  </si>
  <si>
    <t>PM005570</t>
  </si>
  <si>
    <t>PM005558</t>
  </si>
  <si>
    <t>EVAPORATOR #08 SMALL SPIRAL FREEZER</t>
  </si>
  <si>
    <t>PM005569</t>
  </si>
  <si>
    <t>PM005557</t>
  </si>
  <si>
    <t>EVAPORATOR #10 FREEZER FE1</t>
  </si>
  <si>
    <t>PM005568</t>
  </si>
  <si>
    <t>PM005556</t>
  </si>
  <si>
    <t>EVAPORATOR #11 FREEZER FE2</t>
  </si>
  <si>
    <t>PM005567</t>
  </si>
  <si>
    <t>PM005555</t>
  </si>
  <si>
    <t>EVAPORATOR #12 FREEZER FE3</t>
  </si>
  <si>
    <t>PM005566</t>
  </si>
  <si>
    <t>PM005554</t>
  </si>
  <si>
    <t>EVAPORATOR #13 FREEZER FE4</t>
  </si>
  <si>
    <t>PM005572</t>
  </si>
  <si>
    <t>PM005553</t>
  </si>
  <si>
    <t>EVAPORATOR #14 FREEZER FE5</t>
  </si>
  <si>
    <t>PM005565</t>
  </si>
  <si>
    <t>PM005551</t>
  </si>
  <si>
    <t>EVAPORATOR #15 FREEZER FE6</t>
  </si>
  <si>
    <t>PM005564</t>
  </si>
  <si>
    <t>PM005550</t>
  </si>
  <si>
    <t>EVAPORATOR #16 DOCK DE1</t>
  </si>
  <si>
    <t>PM005563</t>
  </si>
  <si>
    <t>PM005549</t>
  </si>
  <si>
    <t>EVAPORATOR #17 DOCK DE2</t>
  </si>
  <si>
    <t>PM005576</t>
  </si>
  <si>
    <t>PM005560</t>
  </si>
  <si>
    <t>EVAPORATOR #18 DOCK DE3</t>
  </si>
  <si>
    <t>PM005562</t>
  </si>
  <si>
    <t>PM005538</t>
  </si>
  <si>
    <t>LABELER #17 WEBER ALPHA HSM</t>
  </si>
  <si>
    <t>PM005537</t>
  </si>
  <si>
    <t>LABELER #18 WEBER ALPHA HSM</t>
  </si>
  <si>
    <t>PM005535</t>
  </si>
  <si>
    <t>LABELER #19 WEBER ALPHA HSM</t>
  </si>
  <si>
    <t>PM005536</t>
  </si>
  <si>
    <t>LABELER #23 WEBER ALPHA CONV 043</t>
  </si>
  <si>
    <t>PM005534</t>
  </si>
  <si>
    <t>LABELER #24 WEBER ALPHA CONV 043</t>
  </si>
  <si>
    <t>PM005539</t>
  </si>
  <si>
    <t>LABELER #25 WEBER ALPHA HSM</t>
  </si>
  <si>
    <t>PM005521</t>
  </si>
  <si>
    <t>WRAPPER #02 PACK 201</t>
  </si>
  <si>
    <t>PM005519</t>
  </si>
  <si>
    <t>WRAPPER #03 PACK 201</t>
  </si>
  <si>
    <t>PM005520</t>
  </si>
  <si>
    <t>PM005583</t>
  </si>
  <si>
    <t>AIR COMPRESSOR #03 NEW FREEZER SPRINKLER</t>
  </si>
  <si>
    <t>PM005582</t>
  </si>
  <si>
    <t>LABELER #33 WEBER ALPHA HSM-CC</t>
  </si>
  <si>
    <t>PM005587</t>
  </si>
  <si>
    <t>METAL DETECTOR #06 METTLER TOLEDO</t>
  </si>
  <si>
    <t>PM005586</t>
  </si>
  <si>
    <t>WRAPPER #15 PACK 202</t>
  </si>
  <si>
    <t>PM005589</t>
  </si>
  <si>
    <t>CONVEYOR #047 VOLUMETRIC</t>
  </si>
  <si>
    <t>PM005588</t>
  </si>
  <si>
    <t>CONVEYOR #048 VOLUMETRIC</t>
  </si>
  <si>
    <t>PM005607</t>
  </si>
  <si>
    <t>LABELER #34 WEBER ALPHA HSM-CC</t>
  </si>
  <si>
    <t>PM005681</t>
  </si>
  <si>
    <t>BLENDER #08 HOBART HL400</t>
  </si>
  <si>
    <t>PM005610</t>
  </si>
  <si>
    <t>AIR COMPRESSOR #02 QUINCY</t>
  </si>
  <si>
    <t>PM005608</t>
  </si>
  <si>
    <t>CONVEYOR #027</t>
  </si>
  <si>
    <t>PM005614</t>
  </si>
  <si>
    <t>CASE PRINTER #07 MARKEM INKJET 9450</t>
  </si>
  <si>
    <t>PM005624</t>
  </si>
  <si>
    <t>BREAD SLICER IPEKA #01</t>
  </si>
  <si>
    <t>PM005623</t>
  </si>
  <si>
    <t>BREAD SLICER IPEKA #03</t>
  </si>
  <si>
    <t>PM005621</t>
  </si>
  <si>
    <t>CONVEYOR #016 QUALITY</t>
  </si>
  <si>
    <t>PM005627</t>
  </si>
  <si>
    <t>SANITIZER TUNNEL _ MONTHLY</t>
  </si>
  <si>
    <t>SANITIZER TUNNEL</t>
  </si>
  <si>
    <t>PM005643</t>
  </si>
  <si>
    <t>HVAC BREAK ROOM</t>
  </si>
  <si>
    <t>PM005641</t>
  </si>
  <si>
    <t>HVAC QA MEN'S ROOM</t>
  </si>
  <si>
    <t>PM005647</t>
  </si>
  <si>
    <t>HVAC TRANE NORTHEAST</t>
  </si>
  <si>
    <t>PM005646</t>
  </si>
  <si>
    <t>HVAC TRANE SOUTH</t>
  </si>
  <si>
    <t>PM005645</t>
  </si>
  <si>
    <t>HVAC TRANE SOUTHEAST</t>
  </si>
  <si>
    <t>PM005644</t>
  </si>
  <si>
    <t>HVAC TRANE SOUTHWEST AAON</t>
  </si>
  <si>
    <t>PM005642</t>
  </si>
  <si>
    <t>HVAC TRANE WEST</t>
  </si>
  <si>
    <t>PM005639</t>
  </si>
  <si>
    <t>THRML TRANSFR PRINTER #02 MARKEM</t>
  </si>
  <si>
    <t>PM005638</t>
  </si>
  <si>
    <t>THRML TRANSFR PRINTER #03 MARKEM WPR #12</t>
  </si>
  <si>
    <t>PM005640</t>
  </si>
  <si>
    <t>THRML TRANSFR PRINTER #04 MARKEM</t>
  </si>
  <si>
    <t>PM005650</t>
  </si>
  <si>
    <t>COMPRESSOR _ SEMI-ANNUAL</t>
  </si>
  <si>
    <t>4,000 HOUR PM - SEE INSTRUCTIONS UNDER PLANNING. PARTS RESERVED UNDER REQUISITIONS.</t>
  </si>
  <si>
    <t>PM005649</t>
  </si>
  <si>
    <t>CONVEYOR #029</t>
  </si>
  <si>
    <t>PM005648</t>
  </si>
  <si>
    <t>CONVEYOR #030</t>
  </si>
  <si>
    <t>PM005651</t>
  </si>
  <si>
    <t>CONVEYOR #025 DORNER</t>
  </si>
  <si>
    <t>PM005658</t>
  </si>
  <si>
    <t>METAL DETECTOR #02 METTLER TOLEDO</t>
  </si>
  <si>
    <t>PM005657</t>
  </si>
  <si>
    <t>CONDENSER _ MONTHLY</t>
  </si>
  <si>
    <t>UNDERFLOOR HEAT EXCHANGER</t>
  </si>
  <si>
    <t>PM005673</t>
  </si>
  <si>
    <t>PRESSURE VESSEL _ SEMI-ANNUA</t>
  </si>
  <si>
    <t>PRESSURE VESSEL #03 RECEIVER HPR129</t>
  </si>
  <si>
    <t>SEMI-ANNUAL - SEE INSTRUCTIONS UNDER PLANNING.</t>
  </si>
  <si>
    <t>PM005676</t>
  </si>
  <si>
    <t>FREEZER #09 SMALL SPIRAL</t>
  </si>
  <si>
    <t>PM005675</t>
  </si>
  <si>
    <t>WRAPPER DELTA _ MONTHLY</t>
  </si>
  <si>
    <t>WRAPPER #06 DELTA</t>
  </si>
  <si>
    <t>PM005680</t>
  </si>
  <si>
    <t>PM005679</t>
  </si>
  <si>
    <t>CONVEYOR #005 QUALITY</t>
  </si>
  <si>
    <t>PM005677</t>
  </si>
  <si>
    <t>CONVEYOR #028</t>
  </si>
  <si>
    <t>PM005678</t>
  </si>
  <si>
    <t>CONVEYOR #035</t>
  </si>
  <si>
    <t>RT004352</t>
  </si>
  <si>
    <t>South d Aisle door</t>
  </si>
  <si>
    <t>Man door from D aisle into flat grill needs a closer on it. will not shut by itself.</t>
  </si>
  <si>
    <t>lfau</t>
  </si>
  <si>
    <t>RT004501</t>
  </si>
  <si>
    <t>Damaged wall in bread heat room</t>
  </si>
  <si>
    <t>BUILDING &amp; GROUNDS</t>
  </si>
  <si>
    <t>Large hole, multiple cracks and peeling of glassboard/wall on the north wall of the bread hot room.</t>
  </si>
  <si>
    <t>RT004508</t>
  </si>
  <si>
    <t>Dark gray office doors and frames</t>
  </si>
  <si>
    <t>ADMINISTRATION OFFICE</t>
  </si>
  <si>
    <t>Need to repaint. See attached pictures.</t>
  </si>
  <si>
    <t>khod</t>
  </si>
  <si>
    <t>RT004513</t>
  </si>
  <si>
    <t>Restroom door in upstairs office area</t>
  </si>
  <si>
    <t>Scott would like a stainless plate on the bottom and the push door areas. On both the womens and the mens room doors.See attached pictures.</t>
  </si>
  <si>
    <t>RT004505</t>
  </si>
  <si>
    <t>Hand sinks</t>
  </si>
  <si>
    <t>Please re caulk the hand sinks. See attached picture.</t>
  </si>
  <si>
    <t>RT004510</t>
  </si>
  <si>
    <t>Need to weld the garage bag holders</t>
  </si>
  <si>
    <t>Need to weld the garbage bag holders. See attached pictures or ask Chris, he welded them before.</t>
  </si>
  <si>
    <t>RT004514</t>
  </si>
  <si>
    <t>Bread thawing room (heat room)</t>
  </si>
  <si>
    <t>Remove the light fixture from the wall.See attached picture.</t>
  </si>
  <si>
    <t>RT004506</t>
  </si>
  <si>
    <t>Bread thawing room</t>
  </si>
  <si>
    <t>STORAGE</t>
  </si>
  <si>
    <t>Please remove the bolts and other objects that are sticking out of the wall.See attached picture.</t>
  </si>
  <si>
    <t>RT004504</t>
  </si>
  <si>
    <t>Bread thawing room Patch holes</t>
  </si>
  <si>
    <t>Please patch the holes in the walls in the bread thawing room.</t>
  </si>
  <si>
    <t>RT004509</t>
  </si>
  <si>
    <t>Replace ripped curtain</t>
  </si>
  <si>
    <t>Need to replace the curtain strips that are torn. See attached picture.</t>
  </si>
  <si>
    <t>RT004511</t>
  </si>
  <si>
    <t>Remove FRP on wall by wash room</t>
  </si>
  <si>
    <t>Remove the FRP and repaint the wall by the wash room. See attached picture.</t>
  </si>
  <si>
    <t>RT004512</t>
  </si>
  <si>
    <t>Remove the air hose in bread thaw area</t>
  </si>
  <si>
    <t>The hose needs to be removed from the bread thawing room before it is ripped off the wall by the pallets. See attached pictures.</t>
  </si>
  <si>
    <t>RT004519</t>
  </si>
  <si>
    <t>Coffee and water dispenser</t>
  </si>
  <si>
    <t>They would like us to move the water and coffee dispenser to that small kitchen next to the elevator.</t>
  </si>
  <si>
    <t>RT004041</t>
  </si>
  <si>
    <t>40-Awaiting Material</t>
  </si>
  <si>
    <t>Replace Gearboxes &amp; Shaft</t>
  </si>
  <si>
    <t>BOOT SCRUBBER #02 DR/1800</t>
  </si>
  <si>
    <t>Brushes were already replaced. Remaining parts need to be ordered.</t>
  </si>
  <si>
    <t>kmic</t>
  </si>
  <si>
    <t>===== KMIC, 07-31-23 04:30 PM =====_x000D_
Order placed with CMP100._x000D_
_x000D_
===== KMIC, 07-06-23 03:55 PM =====_x000D_
Have requested a parts manual from CMP100 so we can identify the part number needed for the shaft. Pending response. Also need confirmation of gearbox part number. Quote will be requested and order placed once received.</t>
  </si>
  <si>
    <t>RT004381</t>
  </si>
  <si>
    <t>Air Regulator for Unifiller</t>
  </si>
  <si>
    <t>Can you get us ordered a part number 01804-00 air regulator? Kind of a one off. Qty 1</t>
  </si>
  <si>
    <t>Jake Graf</t>
  </si>
  <si>
    <t>===== KMIC, 10-11-23 04:01 PM =====_x000D_
Order placed with VIK400. One month lead time.</t>
  </si>
  <si>
    <t>RT004480</t>
  </si>
  <si>
    <t>Replace print head on unit in shop</t>
  </si>
  <si>
    <t>Replace print head on unit in shop.</t>
  </si>
  <si>
    <t>RT004430</t>
  </si>
  <si>
    <t>Fixed former needs to be ordered.</t>
  </si>
  <si>
    <t>Fixed former needs to be ordered for Conagra. Kristine has all the details.</t>
  </si>
  <si>
    <t>msch</t>
  </si>
  <si>
    <t>===== KMIC, 10-27-23 02:43 PM =====_x000D_
Order placed with BOS150. ETA is 8-12 weeks. Quote attached.</t>
  </si>
  <si>
    <t>RT004449</t>
  </si>
  <si>
    <t>50-Material Reserved</t>
  </si>
  <si>
    <t>Outfeed belt frayed.</t>
  </si>
  <si>
    <t>Outlet belt needs to be replaced. Part# 44178</t>
  </si>
  <si>
    <t>===== KMIC, 11-03-23 02:41 PM =====_x000D_
Ordered from BOS150: (QTY 1) part no. 9012441478.</t>
  </si>
  <si>
    <t>RT004400</t>
  </si>
  <si>
    <t>Bearing needs to be replaced</t>
  </si>
  <si>
    <t>CONVEYOR #004 QUALITY</t>
  </si>
  <si>
    <t>Shaft bearing on the drive end, chain side needs to be replaced.  Should be TW part number 140023.  Verify.</t>
  </si>
  <si>
    <t>csch</t>
  </si>
  <si>
    <t>RT004039</t>
  </si>
  <si>
    <t>Troubleshoot, order parts</t>
  </si>
  <si>
    <t>Trouble shooting fans found that one of the fan contactors is bad for fan #2.  On Fan #3 there is a short to ground that needs to be determined if it's bad motor or a wiring issue going to the motor.  Parts to be ordered is a motor contactor. Its a Telemechanique brand, Integral 32, model LB1-LC03M17.</t>
  </si>
  <si>
    <t>Chuck Schweickert</t>
  </si>
  <si>
    <t>===== KMIC, 07-21-23 09:56 AM =====_x000D_
Order placed with GRA200 for BALDOR ELECTRIC Gp Motor, 7 1/2 Hp, 1, 770 Rpm, 230/460v per Chuck._x000D_
_x000D_
===== KMIC, 07-07-23 01:51 PM =====_x000D_
Order placed with MOT100._x000D_
_x000D_
===== KMIC, 07-06-23 02:55 PM =====_x000D_
Quote requested from MOT100 and UNI275 for: (1) Telemechanique brand, Integral 32, model LB1-LC03M17.</t>
  </si>
  <si>
    <t>RT004147</t>
  </si>
  <si>
    <t>05 LW</t>
  </si>
  <si>
    <t>Replace failing bearing</t>
  </si>
  <si>
    <t>Drive end bearing closest to motor, on the infeed chain drive, bearing is failing needs to be replaced.  Part needed is in stock Part # 140304 in A513.</t>
  </si>
  <si>
    <t>DIRECTIONS</t>
  </si>
  <si>
    <t>Delete data in the tab titled Sheet1.</t>
  </si>
  <si>
    <t>Download new data from TabWare.</t>
  </si>
  <si>
    <t>TabWare</t>
  </si>
  <si>
    <t>Work Order Search</t>
  </si>
  <si>
    <t>Query: All Open Work Orders &amp; PMs</t>
  </si>
  <si>
    <t>Search</t>
  </si>
  <si>
    <t>File</t>
  </si>
  <si>
    <t>SaveAs</t>
  </si>
  <si>
    <t>Save In: Downloads</t>
  </si>
  <si>
    <t>File As Type: Exel 2007</t>
  </si>
  <si>
    <t>Save</t>
  </si>
  <si>
    <t>Open the downloaded file.</t>
  </si>
  <si>
    <t>Enter new data into this file.</t>
  </si>
  <si>
    <t>Copy data from downloaded file.</t>
  </si>
  <si>
    <t xml:space="preserve">Paste as values only in the tab titled Sheet1. </t>
  </si>
  <si>
    <t>Process calculations.</t>
  </si>
  <si>
    <t>Click on the tab titled Totals.</t>
  </si>
  <si>
    <t>Click on the circular arrows icon.</t>
  </si>
  <si>
    <t>Save file.</t>
  </si>
  <si>
    <t>OPEN WORK ORDERS – WEEKLY HISTORY</t>
  </si>
  <si>
    <t>Week Of</t>
  </si>
  <si>
    <t>Burnsville Repair Tickets</t>
  </si>
  <si>
    <t>Burnsville PMs</t>
  </si>
  <si>
    <t>Burnsville Total</t>
  </si>
  <si>
    <t>Lakeville Repair Tickets</t>
  </si>
  <si>
    <t>Lakeville PMs</t>
  </si>
  <si>
    <t>Lakeville Total</t>
  </si>
  <si>
    <t>Combined Total</t>
  </si>
  <si>
    <t>Change vs Last Week</t>
  </si>
  <si>
    <t>The counts now update on their own from Sheet1. Make sure the date in B1 is this week's date.</t>
  </si>
  <si>
    <t>Add this week to the Weekly History tab.</t>
  </si>
  <si>
    <t>Type the date and the four counts from the Totals tab in the next empty row of the table.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</si>
</sst>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mm/dd/yy;@"/>
    <numFmt numFmtId="165" formatCode="[$-F800]dddd\,\ mmmm\ dd\,\ yyyy"/>
    <numFmt numFmtId="166" formatCode="&quot;▲ &quot;#,##0;&quot;▼ &quot;#,##0;&quot;No change&quot;"/>
  </numFmts>
  <fonts count="11" x14ac:knownFonts="1">
    <font>
      <sz val="11"/>
      <color theme="1"/>
      <name val="Calibri"/>
      <family val="2"/>
      <scheme val="minor"/>
    </font>
    <font>
      <sz val="14"/>
      <color theme="1"/>
      <name val="Calibri"/>
      <family val="2"/>
      <scheme val="minor"/>
    </font>
    <font>
      <b/>
      <sz val="14"/>
      <color theme="1"/>
      <name val="Calibri"/>
      <family val="2"/>
      <scheme val="minor"/>
    </font>
    <font>
      <sz val="9"/>
      <color theme="1"/>
      <name val="Calibri"/>
      <family val="2"/>
      <scheme val="minor"/>
    </font>
    <font>
      <sz val="20"/>
      <color theme="1"/>
      <name val="Calibri"/>
      <family val="2"/>
      <scheme val="minor"/>
    </font>
    <font>
      <i/>
      <sz val="10"/>
      <color rgb="FF898781"/>
      <name val="Calibri"/>
      <family val="2"/>
      <scheme val="minor"/>
    </font>
    <font>
      <b/>
      <sz val="9"/>
      <color indexed="81"/>
      <name val="Tahoma"/>
      <family val="2"/>
    </font>
    <font>
      <b/>
      <sz val="16"/>
      <color rgb="FF262626"/>
      <name val="Calibri"/>
      <family val="2"/>
      <scheme val="minor"/>
    </font>
    <font>
      <i/>
      <sz val="10"/>
      <color rgb="FF52514E"/>
      <name val="Calibri"/>
      <family val="2"/>
      <scheme val="minor"/>
    </font>
    <font>
      <sz val="11"/>
      <color rgb="FF262626"/>
      <name val="Calibri"/>
      <family val="2"/>
      <scheme val="minor"/>
    </font>
    <font>
      <b/>
      <sz val="11"/>
      <color rgb="FF404040"/>
      <name val="Calibri"/>
      <family val="2"/>
      <scheme val="minor"/>
    </font>
  </fonts>
  <fills count="11">
    <fill>
      <patternFill patternType="none"/>
    </fill>
    <fill>
      <patternFill patternType="gray125"/>
    </fill>
    <fill>
      <patternFill patternType="solid">
        <fgColor rgb="FFFFCCFF"/>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rgb="FFEDEDED"/>
        <bgColor indexed="64"/>
      </patternFill>
    </fill>
    <fill>
      <patternFill patternType="solid">
        <fgColor rgb="FFE2EFDA"/>
        <bgColor indexed="64"/>
      </patternFill>
    </fill>
    <fill>
      <patternFill patternType="solid">
        <fgColor rgb="FFDDEBF7"/>
        <bgColor indexed="64"/>
      </patternFill>
    </fill>
    <fill>
      <patternFill patternType="solid">
        <fgColor rgb="FFFFF2CC"/>
        <bgColor indexed="64"/>
      </patternFill>
    </fill>
    <fill>
      <patternFill patternType="solid">
        <fgColor rgb="FFF5F5F5"/>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1">
    <xf numFmtId="0" fontId="0" fillId="0" borderId="0"/>
  </cellStyleXfs>
  <cellXfs count="51">
    <xf numFmtId="0" fontId="0" fillId="0" borderId="0" xfId="0"/>
    <xf numFmtId="0" fontId="0" fillId="0" borderId="0" xfId="0" applyAlignment="1">
      <alignment horizontal="left" vertical="center"/>
    </xf>
    <xf numFmtId="0" fontId="0" fillId="2" borderId="1" xfId="0" applyFill="1" applyBorder="1" applyAlignment="1">
      <alignment horizontal="left" vertical="top" wrapText="1"/>
    </xf>
    <xf numFmtId="0" fontId="0" fillId="0" borderId="0" xfId="0" applyAlignment="1">
      <alignment horizontal="center" vertical="center"/>
    </xf>
    <xf numFmtId="0" fontId="0" fillId="0" borderId="0" xfId="0" applyAlignment="1">
      <alignment vertical="center"/>
    </xf>
    <xf numFmtId="0" fontId="1" fillId="0" borderId="0" xfId="0" applyFont="1" applyAlignment="1">
      <alignment horizontal="center" vertical="center"/>
    </xf>
    <xf numFmtId="0" fontId="1" fillId="0" borderId="0" xfId="0" applyFont="1" applyAlignment="1">
      <alignment vertical="center"/>
    </xf>
    <xf numFmtId="14" fontId="0" fillId="0" borderId="0" xfId="0" applyNumberFormat="1" applyAlignment="1">
      <alignment horizontal="center" vertical="center"/>
    </xf>
    <xf numFmtId="165" fontId="0" fillId="0" borderId="0" xfId="0" applyNumberFormat="1" applyAlignment="1">
      <alignment horizontal="left" vertical="center"/>
    </xf>
    <xf numFmtId="0" fontId="0" fillId="5" borderId="1" xfId="0" applyFill="1" applyBorder="1" applyAlignment="1">
      <alignment horizontal="center" vertical="center" wrapText="1"/>
    </xf>
    <xf numFmtId="0" fontId="0" fillId="2" borderId="2" xfId="0" applyFill="1" applyBorder="1" applyAlignment="1">
      <alignment horizontal="left" vertical="top" wrapText="1"/>
    </xf>
    <xf numFmtId="0" fontId="0" fillId="0" borderId="0" xfId="0" applyAlignment="1">
      <alignment horizontal="left" vertical="center" wrapText="1"/>
    </xf>
    <xf numFmtId="0" fontId="3" fillId="0" borderId="0" xfId="0" applyFont="1" applyAlignment="1">
      <alignment horizontal="left" vertical="center" wrapText="1"/>
    </xf>
    <xf numFmtId="0" fontId="3" fillId="0" borderId="0" xfId="0" applyFont="1" applyAlignment="1">
      <alignment horizontal="left" vertical="center"/>
    </xf>
    <xf numFmtId="0" fontId="3" fillId="0" borderId="0" xfId="0" applyFont="1" applyAlignment="1">
      <alignment horizontal="center" vertical="center"/>
    </xf>
    <xf numFmtId="164" fontId="3" fillId="0" borderId="0" xfId="0" applyNumberFormat="1" applyFont="1" applyAlignment="1">
      <alignment horizontal="left" vertical="center"/>
    </xf>
    <xf numFmtId="14" fontId="1" fillId="0" borderId="0" xfId="0" applyNumberFormat="1" applyFont="1" applyAlignment="1">
      <alignment horizontal="center" vertical="center"/>
    </xf>
    <xf numFmtId="14" fontId="1" fillId="0" borderId="0" xfId="0" applyNumberFormat="1" applyFont="1" applyAlignment="1">
      <alignment vertical="center"/>
    </xf>
    <xf numFmtId="0" fontId="0" fillId="0" borderId="3" xfId="0" applyBorder="1" applyAlignment="1">
      <alignment horizontal="center" vertical="center"/>
    </xf>
    <xf numFmtId="0" fontId="0" fillId="0" borderId="4" xfId="0" applyBorder="1" applyAlignment="1">
      <alignment vertical="center"/>
    </xf>
    <xf numFmtId="0" fontId="0" fillId="0" borderId="2" xfId="0" applyBorder="1" applyAlignment="1">
      <alignment vertical="center"/>
    </xf>
    <xf numFmtId="0" fontId="0" fillId="0" borderId="6" xfId="0" applyBorder="1" applyAlignment="1">
      <alignment vertical="center"/>
    </xf>
    <xf numFmtId="0" fontId="0" fillId="0" borderId="7" xfId="0" applyBorder="1" applyAlignment="1">
      <alignment vertical="center"/>
    </xf>
    <xf numFmtId="0" fontId="0" fillId="0" borderId="9" xfId="0" applyBorder="1" applyAlignment="1">
      <alignment vertical="center"/>
    </xf>
    <xf numFmtId="0" fontId="0" fillId="0" borderId="11" xfId="0" applyBorder="1" applyAlignment="1">
      <alignment vertical="center"/>
    </xf>
    <xf numFmtId="0" fontId="0" fillId="0" borderId="12" xfId="0" applyBorder="1" applyAlignment="1">
      <alignment vertical="center"/>
    </xf>
    <xf numFmtId="0" fontId="0" fillId="0" borderId="1" xfId="0" applyBorder="1" applyAlignment="1">
      <alignment horizontal="center" vertical="center"/>
    </xf>
    <xf numFmtId="0" fontId="0" fillId="0" borderId="5" xfId="0" applyBorder="1" applyAlignment="1">
      <alignment vertical="center"/>
    </xf>
    <xf numFmtId="0" fontId="0" fillId="0" borderId="8" xfId="0" applyBorder="1" applyAlignment="1">
      <alignment vertical="center"/>
    </xf>
    <xf numFmtId="0" fontId="0" fillId="0" borderId="10" xfId="0" applyBorder="1" applyAlignment="1">
      <alignment vertical="center"/>
    </xf>
    <xf numFmtId="0" fontId="0" fillId="0" borderId="3" xfId="0" applyBorder="1" applyAlignment="1">
      <alignment vertical="center"/>
    </xf>
    <xf numFmtId="0" fontId="5" fillId="0" borderId="0" xfId="0" applyFont="1" applyAlignment="1">
      <alignment horizontal="left" vertical="center"/>
    </xf>
    <xf numFmtId="0" fontId="7" fillId="0" borderId="0" xfId="0" applyFont="1"/>
    <xf numFmtId="0" fontId="8" fillId="0" borderId="0" xfId="0" applyFont="1"/>
    <xf numFmtId="0" fontId="9" fillId="6" borderId="0" xfId="0" applyFont="1" applyFill="1" applyAlignment="1">
      <alignment horizontal="center" vertical="center" wrapText="1"/>
    </xf>
    <xf numFmtId="0" fontId="9" fillId="7" borderId="0" xfId="0" applyFont="1" applyFill="1" applyAlignment="1">
      <alignment horizontal="center" vertical="center" wrapText="1"/>
    </xf>
    <xf numFmtId="0" fontId="9" fillId="8" borderId="0" xfId="0" applyFont="1" applyFill="1" applyAlignment="1">
      <alignment horizontal="center" vertical="center" wrapText="1"/>
    </xf>
    <xf numFmtId="0" fontId="9" fillId="9" borderId="0" xfId="0" applyFont="1" applyFill="1" applyAlignment="1">
      <alignment horizontal="center" vertical="center" wrapText="1"/>
    </xf>
    <xf numFmtId="3" fontId="0" fillId="0" borderId="0" xfId="0" applyNumberFormat="1" applyAlignment="1">
      <alignment horizontal="center"/>
    </xf>
    <xf numFmtId="14" fontId="0" fillId="0" borderId="0" xfId="0" applyNumberFormat="1" applyAlignment="1">
      <alignment horizontal="center"/>
    </xf>
    <xf numFmtId="3" fontId="10" fillId="10" borderId="0" xfId="0" applyNumberFormat="1" applyFont="1" applyFill="1" applyAlignment="1">
      <alignment horizontal="center"/>
    </xf>
    <xf numFmtId="166" fontId="10" fillId="10" borderId="0" xfId="0" applyNumberFormat="1" applyFont="1" applyFill="1" applyAlignment="1">
      <alignment horizontal="center"/>
    </xf>
    <xf numFmtId="0" fontId="2" fillId="3" borderId="1" xfId="0" applyFont="1" applyFill="1" applyBorder="1" applyAlignment="1">
      <alignment horizontal="center" vertical="center"/>
    </xf>
    <xf numFmtId="0" fontId="2" fillId="4" borderId="1" xfId="0" applyFont="1" applyFill="1" applyBorder="1" applyAlignment="1">
      <alignment horizontal="center" vertical="center"/>
    </xf>
    <xf numFmtId="0" fontId="2" fillId="5" borderId="1" xfId="0" applyFont="1" applyFill="1" applyBorder="1" applyAlignment="1">
      <alignment horizontal="center" vertical="center"/>
    </xf>
    <xf numFmtId="0" fontId="0" fillId="0" borderId="13" xfId="0" applyBorder="1" applyAlignment="1">
      <alignment horizontal="center" vertical="center"/>
    </xf>
    <xf numFmtId="0" fontId="0" fillId="0" borderId="14" xfId="0" applyBorder="1" applyAlignment="1">
      <alignment horizontal="center" vertical="center"/>
    </xf>
    <xf numFmtId="0" fontId="0" fillId="0" borderId="15" xfId="0" applyBorder="1" applyAlignment="1">
      <alignment horizontal="center" vertical="center"/>
    </xf>
    <xf numFmtId="0" fontId="4" fillId="0" borderId="3" xfId="0" applyFont="1" applyBorder="1" applyAlignment="1">
      <alignment horizontal="center" vertical="center"/>
    </xf>
    <xf numFmtId="0" fontId="4" fillId="0" borderId="4" xfId="0" applyFont="1" applyBorder="1" applyAlignment="1">
      <alignment horizontal="center" vertical="center"/>
    </xf>
    <xf numFmtId="0" fontId="4" fillId="0" borderId="2" xfId="0" applyFont="1" applyBorder="1" applyAlignment="1">
      <alignment horizontal="center" vertical="center"/>
    </xf>
  </cellXfs>
  <cellStyles count="1">
    <cellStyle name="Normal" xfId="0" builtinId="0"/>
  </cellStyles>
  <dxfs count="18">
    <dxf>
      <font>
        <b/>
        <i val="0"/>
        <strike val="0"/>
        <condense val="0"/>
        <extend val="0"/>
        <outline val="0"/>
        <shadow val="0"/>
        <u val="none"/>
        <vertAlign val="baseline"/>
        <sz val="11"/>
        <color rgb="FF404040"/>
        <name val="Calibri"/>
        <family val="2"/>
        <scheme val="minor"/>
      </font>
      <numFmt numFmtId="166" formatCode="&quot;▲ &quot;#,##0;&quot;▼ &quot;#,##0;&quot;No change&quot;"/>
      <fill>
        <patternFill patternType="solid">
          <fgColor indexed="64"/>
          <bgColor rgb="FFF5F5F5"/>
        </patternFill>
      </fill>
      <alignment horizontal="center" vertical="bottom" textRotation="0" wrapText="0" indent="0" justifyLastLine="0" shrinkToFit="0" readingOrder="0"/>
    </dxf>
    <dxf>
      <font>
        <b/>
        <i val="0"/>
        <strike val="0"/>
        <condense val="0"/>
        <extend val="0"/>
        <outline val="0"/>
        <shadow val="0"/>
        <u val="none"/>
        <vertAlign val="baseline"/>
        <sz val="11"/>
        <color rgb="FF404040"/>
        <name val="Calibri"/>
        <family val="2"/>
        <scheme val="minor"/>
      </font>
      <numFmt numFmtId="3" formatCode="#,##0"/>
      <fill>
        <patternFill patternType="solid">
          <fgColor indexed="64"/>
          <bgColor rgb="FFF5F5F5"/>
        </patternFill>
      </fill>
      <alignment horizontal="center" vertical="bottom" textRotation="0" wrapText="0" indent="0" justifyLastLine="0" shrinkToFit="0" readingOrder="0"/>
    </dxf>
    <dxf>
      <font>
        <b/>
        <i val="0"/>
        <strike val="0"/>
        <condense val="0"/>
        <extend val="0"/>
        <outline val="0"/>
        <shadow val="0"/>
        <u val="none"/>
        <vertAlign val="baseline"/>
        <sz val="11"/>
        <color rgb="FF404040"/>
        <name val="Calibri"/>
        <family val="2"/>
        <scheme val="minor"/>
      </font>
      <numFmt numFmtId="3" formatCode="#,##0"/>
      <fill>
        <patternFill patternType="solid">
          <fgColor indexed="64"/>
          <bgColor rgb="FFF5F5F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3" formatCode="#,##0"/>
      <alignment horizontal="center" vertical="bottom" textRotation="0" wrapText="0" indent="0" justifyLastLine="0" shrinkToFit="0" readingOrder="0"/>
    </dxf>
    <dxf>
      <font>
        <b/>
        <i val="0"/>
        <strike val="0"/>
        <condense val="0"/>
        <extend val="0"/>
        <outline val="0"/>
        <shadow val="0"/>
        <u val="none"/>
        <vertAlign val="baseline"/>
        <sz val="11"/>
        <color rgb="FF404040"/>
        <name val="Calibri"/>
        <family val="2"/>
        <scheme val="minor"/>
      </font>
      <numFmt numFmtId="3" formatCode="#,##0"/>
      <fill>
        <patternFill patternType="solid">
          <fgColor indexed="64"/>
          <bgColor rgb="FFF5F5F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9" formatCode="m/d/yyyy"/>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1"/>
        <color rgb="FF262626"/>
        <name val="Calibri"/>
        <family val="2"/>
        <scheme val="minor"/>
      </font>
      <alignment horizontal="center" vertical="center" textRotation="0" wrapText="1" indent="0" justifyLastLine="0" shrinkToFit="0" readingOrder="0"/>
    </dxf>
    <dxf>
      <font>
        <color rgb="FF006300"/>
      </font>
    </dxf>
    <dxf>
      <font>
        <color rgb="FFD03B3B"/>
      </font>
    </dxf>
    <dxf>
      <font>
        <color rgb="FFD03B3B"/>
      </font>
    </dxf>
    <dxf>
      <font>
        <color rgb="FFD03B3B"/>
      </font>
    </dxf>
    <dxf>
      <font>
        <color rgb="FFD03B3B"/>
      </font>
    </dxf>
    <dxf>
      <font>
        <b/>
        <i val="0"/>
      </font>
      <border>
        <bottom style="thin">
          <color rgb="FF7F7F7F"/>
        </bottom>
      </border>
    </dxf>
    <dxf>
      <border>
        <bottom style="thin">
          <color rgb="FFBFBFBF"/>
        </bottom>
        <horizontal style="thin">
          <color rgb="FFE4E4E4"/>
        </horizontal>
      </border>
    </dxf>
  </dxfs>
  <tableStyles count="1" defaultTableStyle="TableStyleMedium2" defaultPivotStyle="PivotStyleLight16">
    <tableStyle name="Weekly Log Style" pivot="0" table="0" count="2" xr9:uid="{FA79C010-6356-4203-AB79-3D71C0298BED}">
      <tableStyleElement type="wholeTable" dxfId="17"/>
      <tableStyleElement type="headerRow" dxfId="16"/>
    </tableStyle>
  </tableStyles>
  <colors>
    <mruColors>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microsoft.com/office/2006/relationships/vbaProject" Target="vbaProject.bin"/><Relationship Id="rId5" Type="http://schemas.openxmlformats.org/officeDocument/2006/relationships/theme" Target="theme/theme1.xml"/><Relationship Id="rId10" Type="http://schemas.openxmlformats.org/officeDocument/2006/relationships/customXml" Target="../customXml/item1.xml"/><Relationship Id="rId4" Type="http://schemas.openxmlformats.org/officeDocument/2006/relationships/worksheet" Target="worksheets/sheet4.xml"/><Relationship Id="rId12" Type="http://schemas.openxmlformats.org/officeDocument/2006/relationships/worksheet" Target="worksheets/sheet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Open work orders by week</a:t>
            </a:r>
          </a:p>
        </c:rich>
      </c:tx>
      <c:overlay val="0"/>
    </c:title>
    <c:autoTitleDeleted val="0"/>
    <c:plotArea>
      <c:layout>
        <c:manualLayout>
          <c:layoutTarget val="inner"/>
          <c:xMode val="edge"/>
          <c:yMode val="edge"/>
          <c:x val="9.9690033018841051E-2"/>
          <c:y val="0.31041666666666673"/>
          <c:w val="0.89939024390243905"/>
          <c:h val="0.60329861111111116"/>
        </c:manualLayout>
      </c:layout>
      <c:lineChart>
        <c:grouping val="standard"/>
        <c:varyColors val="0"/>
        <c:ser>
          <c:idx val="0"/>
          <c:order val="0"/>
          <c:tx>
            <c:v>Burnsville</c:v>
          </c:tx>
          <c:spPr>
            <a:ln w="25400">
              <a:solidFill>
                <a:srgbClr val="1BAF7A"/>
              </a:solidFill>
            </a:ln>
          </c:spPr>
          <c:marker>
            <c:symbol val="circle"/>
            <c:size val="7"/>
            <c:spPr>
              <a:solidFill>
                <a:srgbClr val="1BAF7A"/>
              </a:solidFill>
              <a:ln w="25400">
                <a:solidFill>
                  <a:srgbClr val="FFFFFF"/>
                </a:solidFill>
                <a:prstDash val="solid"/>
              </a:ln>
            </c:spPr>
          </c:marker>
          <c:cat>
            <c:numRef>
              <c:f>'Weekly History'!chart_Week</c:f>
              <c:numCache>
                <c:formatCode>m/d/yyyy</c:formatCode>
                <c:ptCount val="2"/>
                <c:pt idx="0">
                  <c:v>46280</c:v>
                </c:pt>
                <c:pt idx="1">
                  <c:v>46286</c:v>
                </c:pt>
              </c:numCache>
            </c:numRef>
          </c:cat>
          <c:val>
            <c:numRef>
              <c:f>'Weekly History'!chart_BV</c:f>
              <c:numCache>
                <c:formatCode>#,##0</c:formatCode>
                <c:ptCount val="2"/>
                <c:pt idx="0">
                  <c:v>14</c:v>
                </c:pt>
                <c:pt idx="1">
                  <c:v>12</c:v>
                </c:pt>
              </c:numCache>
            </c:numRef>
          </c:val>
          <c:smooth val="0"/>
          <c:extLst>
            <c:ext xmlns:c16="http://schemas.microsoft.com/office/drawing/2014/chart" uri="{C3380CC4-5D6E-409C-BE32-E72D297353CC}">
              <c16:uniqueId val="{00000001-DE2D-4CC4-98FB-3FC4B1E2CDF3}"/>
            </c:ext>
          </c:extLst>
        </c:ser>
        <c:ser>
          <c:idx val="1"/>
          <c:order val="1"/>
          <c:tx>
            <c:v>Lakeville</c:v>
          </c:tx>
          <c:spPr>
            <a:ln w="25400">
              <a:solidFill>
                <a:srgbClr val="2A78D6"/>
              </a:solidFill>
            </a:ln>
          </c:spPr>
          <c:marker>
            <c:symbol val="circle"/>
            <c:size val="7"/>
            <c:spPr>
              <a:solidFill>
                <a:srgbClr val="2A78D6"/>
              </a:solidFill>
              <a:ln w="25400">
                <a:solidFill>
                  <a:srgbClr val="FFFFFF"/>
                </a:solidFill>
                <a:prstDash val="solid"/>
              </a:ln>
            </c:spPr>
          </c:marker>
          <c:cat>
            <c:numRef>
              <c:f>'Weekly History'!chart_Week</c:f>
              <c:numCache>
                <c:formatCode>m/d/yyyy</c:formatCode>
                <c:ptCount val="2"/>
                <c:pt idx="0">
                  <c:v>46280</c:v>
                </c:pt>
                <c:pt idx="1">
                  <c:v>46286</c:v>
                </c:pt>
              </c:numCache>
            </c:numRef>
          </c:cat>
          <c:val>
            <c:numRef>
              <c:f>'Weekly History'!chart_LV</c:f>
              <c:numCache>
                <c:formatCode>#,##0</c:formatCode>
                <c:ptCount val="2"/>
                <c:pt idx="0">
                  <c:v>205</c:v>
                </c:pt>
                <c:pt idx="1">
                  <c:v>278</c:v>
                </c:pt>
              </c:numCache>
            </c:numRef>
          </c:val>
          <c:smooth val="0"/>
          <c:extLst>
            <c:ext xmlns:c16="http://schemas.microsoft.com/office/drawing/2014/chart" uri="{C3380CC4-5D6E-409C-BE32-E72D297353CC}">
              <c16:uniqueId val="{00000002-DE2D-4CC4-98FB-3FC4B1E2CDF3}"/>
            </c:ext>
          </c:extLst>
        </c:ser>
        <c:ser>
          <c:idx val="2"/>
          <c:order val="2"/>
          <c:tx>
            <c:v>Combined</c:v>
          </c:tx>
          <c:spPr>
            <a:ln w="31750">
              <a:solidFill>
                <a:srgbClr val="262626"/>
              </a:solidFill>
            </a:ln>
          </c:spPr>
          <c:marker>
            <c:symbol val="circle"/>
            <c:size val="7"/>
            <c:spPr>
              <a:solidFill>
                <a:srgbClr val="262626"/>
              </a:solidFill>
              <a:ln w="31750">
                <a:solidFill>
                  <a:srgbClr val="FFFFFF"/>
                </a:solidFill>
                <a:prstDash val="solid"/>
              </a:ln>
            </c:spPr>
          </c:marker>
          <c:cat>
            <c:numRef>
              <c:f>'Weekly History'!chart_Week</c:f>
              <c:numCache>
                <c:formatCode>m/d/yyyy</c:formatCode>
                <c:ptCount val="2"/>
                <c:pt idx="0">
                  <c:v>46280</c:v>
                </c:pt>
                <c:pt idx="1">
                  <c:v>46286</c:v>
                </c:pt>
              </c:numCache>
            </c:numRef>
          </c:cat>
          <c:val>
            <c:numRef>
              <c:f>'Weekly History'!chart_CO</c:f>
              <c:numCache>
                <c:formatCode>#,##0</c:formatCode>
                <c:ptCount val="2"/>
                <c:pt idx="0">
                  <c:v>219</c:v>
                </c:pt>
                <c:pt idx="1">
                  <c:v>290</c:v>
                </c:pt>
              </c:numCache>
            </c:numRef>
          </c:val>
          <c:smooth val="0"/>
          <c:extLst>
            <c:ext xmlns:c16="http://schemas.microsoft.com/office/drawing/2014/chart" uri="{C3380CC4-5D6E-409C-BE32-E72D297353CC}">
              <c16:uniqueId val="{00000003-DE2D-4CC4-98FB-3FC4B1E2CDF3}"/>
            </c:ext>
          </c:extLst>
        </c:ser>
        <c:ser>
          <c:idx val="3"/>
          <c:order val="3"/>
          <c:tx>
            <c:v>Burnsville</c:v>
          </c:tx>
          <c:spPr>
            <a:ln w="19050" cap="rnd" cmpd="sng" algn="ctr">
              <a:noFill/>
              <a:prstDash val="solid"/>
              <a:round/>
            </a:ln>
            <a:effectLst/>
            <a:extLst>
              <a:ext uri="{91240B29-F687-4F45-9708-019B960494DF}">
                <a14:hiddenLine xmlns:a14="http://schemas.microsoft.com/office/drawing/2010/main" w="19050" cap="rnd" cmpd="sng" algn="ctr">
                  <a:solidFill>
                    <a:srgbClr val="FFC000"/>
                  </a:solidFill>
                  <a:prstDash val="solid"/>
                  <a:round/>
                </a14:hiddenLine>
              </a:ext>
            </a:extLst>
          </c:spPr>
          <c:marker>
            <c:symbol val="none"/>
          </c:marker>
          <c:dLbls>
            <c:numFmt formatCode="#,##0" sourceLinked="0"/>
            <c:spPr>
              <a:noFill/>
              <a:ln>
                <a:noFill/>
              </a:ln>
              <a:effectLst/>
            </c:sp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'Weekly History'!chart_Week</c:f>
              <c:numCache>
                <c:formatCode>m/d/yyyy</c:formatCode>
                <c:ptCount val="2"/>
                <c:pt idx="0">
                  <c:v>46280</c:v>
                </c:pt>
                <c:pt idx="1">
                  <c:v>46286</c:v>
                </c:pt>
              </c:numCache>
            </c:numRef>
          </c:cat>
          <c:val>
            <c:numRef>
              <c:f>'Weekly History'!last_BV</c:f>
              <c:numCache>
                <c:formatCode>#,##0</c:formatCode>
                <c:ptCount val="2"/>
                <c:pt idx="1">
                  <c:v>12</c:v>
                </c:pt>
              </c:numCache>
            </c:numRef>
          </c:val>
          <c:smooth val="0"/>
          <c:extLst>
            <c:ext xmlns:c16="http://schemas.microsoft.com/office/drawing/2014/chart" uri="{C3380CC4-5D6E-409C-BE32-E72D297353CC}">
              <c16:uniqueId val="{00000004-DE2D-4CC4-98FB-3FC4B1E2CDF3}"/>
            </c:ext>
          </c:extLst>
        </c:ser>
        <c:ser>
          <c:idx val="4"/>
          <c:order val="4"/>
          <c:tx>
            <c:v>Lakeville</c:v>
          </c:tx>
          <c:spPr>
            <a:ln w="19050" cap="rnd" cmpd="sng" algn="ctr">
              <a:noFill/>
              <a:prstDash val="solid"/>
              <a:round/>
            </a:ln>
            <a:effectLst/>
            <a:extLst>
              <a:ext uri="{91240B29-F687-4F45-9708-019B960494DF}">
                <a14:hiddenLine xmlns:a14="http://schemas.microsoft.com/office/drawing/2010/main" w="19050" cap="rnd" cmpd="sng" algn="ctr">
                  <a:solidFill>
                    <a:srgbClr val="5B9BD5"/>
                  </a:solidFill>
                  <a:prstDash val="solid"/>
                  <a:round/>
                </a14:hiddenLine>
              </a:ext>
            </a:extLst>
          </c:spPr>
          <c:marker>
            <c:symbol val="none"/>
          </c:marker>
          <c:dLbls>
            <c:numFmt formatCode="#,##0" sourceLinked="0"/>
            <c:spPr>
              <a:noFill/>
              <a:ln>
                <a:noFill/>
              </a:ln>
              <a:effectLst/>
            </c:spPr>
            <c:dLblPos val="b"/>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'Weekly History'!chart_Week</c:f>
              <c:numCache>
                <c:formatCode>m/d/yyyy</c:formatCode>
                <c:ptCount val="2"/>
                <c:pt idx="0">
                  <c:v>46280</c:v>
                </c:pt>
                <c:pt idx="1">
                  <c:v>46286</c:v>
                </c:pt>
              </c:numCache>
            </c:numRef>
          </c:cat>
          <c:val>
            <c:numRef>
              <c:f>'Weekly History'!last_LV</c:f>
              <c:numCache>
                <c:formatCode>#,##0</c:formatCode>
                <c:ptCount val="2"/>
                <c:pt idx="1">
                  <c:v>278</c:v>
                </c:pt>
              </c:numCache>
            </c:numRef>
          </c:val>
          <c:smooth val="0"/>
          <c:extLst>
            <c:ext xmlns:c16="http://schemas.microsoft.com/office/drawing/2014/chart" uri="{C3380CC4-5D6E-409C-BE32-E72D297353CC}">
              <c16:uniqueId val="{00000005-DE2D-4CC4-98FB-3FC4B1E2CDF3}"/>
            </c:ext>
          </c:extLst>
        </c:ser>
        <c:ser>
          <c:idx val="5"/>
          <c:order val="5"/>
          <c:tx>
            <c:v>Combined</c:v>
          </c:tx>
          <c:spPr>
            <a:ln w="19050" cap="rnd" cmpd="sng" algn="ctr">
              <a:noFill/>
              <a:prstDash val="solid"/>
              <a:round/>
            </a:ln>
            <a:effectLst/>
            <a:extLst>
              <a:ext uri="{91240B29-F687-4F45-9708-019B960494DF}">
                <a14:hiddenLine xmlns:a14="http://schemas.microsoft.com/office/drawing/2010/main" w="19050" cap="rnd" cmpd="sng" algn="ctr">
                  <a:solidFill>
                    <a:srgbClr val="70AD47">
                      <a:shade val="76000"/>
                    </a:srgbClr>
                  </a:solidFill>
                  <a:prstDash val="solid"/>
                  <a:round/>
                </a14:hiddenLine>
              </a:ext>
            </a:extLst>
          </c:spPr>
          <c:marker>
            <c:symbol val="none"/>
          </c:marker>
          <c:dLbls>
            <c:numFmt formatCode="#,##0" sourceLinked="0"/>
            <c:spPr>
              <a:noFill/>
              <a:ln>
                <a:noFill/>
              </a:ln>
              <a:effectLst/>
            </c:sp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'Weekly History'!chart_Week</c:f>
              <c:numCache>
                <c:formatCode>m/d/yyyy</c:formatCode>
                <c:ptCount val="2"/>
                <c:pt idx="0">
                  <c:v>46280</c:v>
                </c:pt>
                <c:pt idx="1">
                  <c:v>46286</c:v>
                </c:pt>
              </c:numCache>
            </c:numRef>
          </c:cat>
          <c:val>
            <c:numRef>
              <c:f>'Weekly History'!last_CO</c:f>
              <c:numCache>
                <c:formatCode>#,##0</c:formatCode>
                <c:ptCount val="2"/>
                <c:pt idx="1">
                  <c:v>290</c:v>
                </c:pt>
              </c:numCache>
            </c:numRef>
          </c:val>
          <c:smooth val="0"/>
          <c:extLst>
            <c:ext xmlns:c16="http://schemas.microsoft.com/office/drawing/2014/chart" uri="{C3380CC4-5D6E-409C-BE32-E72D297353CC}">
              <c16:uniqueId val="{00000006-DE2D-4CC4-98FB-3FC4B1E2CDF3}"/>
            </c:ext>
          </c:extLst>
        </c:ser>
        <c:dLbls>
          <c:showLegendKey val="0"/>
          <c:showVal val="0"/>
          <c:showCatName val="0"/>
          <c:showSerName val="0"/>
          <c:showPercent val="0"/>
          <c:showBubbleSize val="0"/>
        </c:dLbls>
        <c:marker val="1"/>
        <c:smooth val="0"/>
        <c:axId val="1424949167"/>
        <c:axId val="1424949647"/>
      </c:lineChart>
      <c:catAx>
        <c:axId val="1424949167"/>
        <c:scaling>
          <c:orientation val="minMax"/>
        </c:scaling>
        <c:delete val="0"/>
        <c:axPos val="b"/>
        <c:numFmt formatCode="m/d" sourceLinked="0"/>
        <c:majorTickMark val="none"/>
        <c:minorTickMark val="none"/>
        <c:tickLblPos val="nextTo"/>
        <c:spPr>
          <a:ln w="9525">
            <a:solidFill>
              <a:srgbClr val="C3C2B7"/>
            </a:solidFill>
          </a:ln>
        </c:spPr>
        <c:crossAx val="1424949647"/>
        <c:crosses val="autoZero"/>
        <c:auto val="0"/>
        <c:lblAlgn val="ctr"/>
        <c:lblOffset val="100"/>
        <c:noMultiLvlLbl val="0"/>
      </c:catAx>
      <c:valAx>
        <c:axId val="1424949647"/>
        <c:scaling>
          <c:orientation val="minMax"/>
          <c:min val="0"/>
        </c:scaling>
        <c:delete val="0"/>
        <c:axPos val="l"/>
        <c:majorGridlines>
          <c:spPr>
            <a:ln w="9525">
              <a:solidFill>
                <a:srgbClr val="E1E0D9"/>
              </a:solidFill>
            </a:ln>
          </c:spPr>
        </c:majorGridlines>
        <c:numFmt formatCode="#,##0" sourceLinked="0"/>
        <c:majorTickMark val="none"/>
        <c:minorTickMark val="none"/>
        <c:tickLblPos val="nextTo"/>
        <c:spPr>
          <a:noFill/>
          <a:ln w="6350" cap="flat" cmpd="sng" algn="ctr">
            <a:noFill/>
            <a:prstDash val="solid"/>
            <a:round/>
          </a:ln>
          <a:effectLst/>
          <a:extLs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crossAx val="1424949167"/>
        <c:crosses val="autoZero"/>
        <c:crossBetween val="between"/>
      </c:valAx>
      <c:spPr>
        <a:noFill/>
        <a:extLst>
          <a:ext uri="{909E8E84-426E-40DD-AFC4-6F175D3DCCD1}">
            <a14:hiddenFill xmlns:a14="http://schemas.microsoft.com/office/drawing/2010/main">
              <a:solidFill>
                <a:sysClr val="window" lastClr="FFFFFF"/>
              </a:solidFill>
            </a14:hiddenFill>
          </a:ext>
        </a:extLst>
      </c:spPr>
    </c:plotArea>
    <c:legend>
      <c:legendPos val="t"/>
      <c:legendEntry>
        <c:idx val="3"/>
        <c:delete val="1"/>
      </c:legendEntry>
      <c:legendEntry>
        <c:idx val="4"/>
        <c:delete val="1"/>
      </c:legendEntry>
      <c:legendEntry>
        <c:idx val="5"/>
        <c:delete val="1"/>
      </c:legendEntry>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FFFFFF"/>
    </a:solidFill>
    <a:ln w="9525">
      <a:solidFill>
        <a:srgbClr val="D9D9D9"/>
      </a:solidFill>
    </a:ln>
  </c:spPr>
  <c:txPr>
    <a:bodyPr/>
    <a:lstStyle/>
    <a:p>
      <a:pPr>
        <a:defRPr>
          <a:latin typeface="Calibri"/>
          <a:ea typeface="Calibri"/>
          <a:cs typeface="Calibri"/>
        </a:defRPr>
      </a:pPr>
      <a:endParaRPr lang="en-US"/>
    </a:p>
  </c:tx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0</xdr:col>
      <xdr:colOff>25400</xdr:colOff>
      <xdr:row>3</xdr:row>
      <xdr:rowOff>0</xdr:rowOff>
    </xdr:from>
    <xdr:to>
      <xdr:col>8</xdr:col>
      <xdr:colOff>1376680</xdr:colOff>
      <xdr:row>19</xdr:row>
      <xdr:rowOff>0</xdr:rowOff>
    </xdr:to>
    <xdr:graphicFrame macro="">
      <xdr:nvGraphicFramePr>
        <xdr:cNvPr id="2" name="Open work orders by week">
          <a:extLst>
            <a:ext uri="{FF2B5EF4-FFF2-40B4-BE49-F238E27FC236}">
              <a16:creationId xmlns:a16="http://schemas.microsoft.com/office/drawing/2014/main" id="{BC12A2EC-9CAA-A219-5E60-3DD6D2966C1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xdr:col>
      <xdr:colOff>0</xdr:colOff>
      <xdr:row>0</xdr:row>
      <xdr:rowOff>0</xdr:rowOff>
    </xdr:from>
    <xdr:to>
      <xdr:col>4</xdr:col>
      <xdr:colOff>640080</xdr:colOff>
      <xdr:row>2</xdr:row>
      <xdr:rowOff>0</xdr:rowOff>
    </xdr:to>
    <xdr:sp macro="[0]!UpdateData" textlink="">
      <xdr:nvSpPr>
        <xdr:cNvPr id="2" name="Refresh Button"/>
        <xdr:cNvSpPr/>
      </xdr:nvSpPr>
      <xdr:spPr>
        <a:xfrm>
          <a:off x="0" y="0"/>
          <a:ext cx="0" cy="0"/>
        </a:xfrm>
        <a:prstGeom prst="roundRect">
          <a:avLst/>
        </a:prstGeom>
        <a:solidFill>
          <a:srgbClr val="2A78D6"/>
        </a:solidFill>
        <a:ln>
          <a:noFill/>
        </a:ln>
      </xdr:spPr>
      <xdr:txBody>
        <a:bodyPr vertOverflow="clip" horzOverflow="clip" wrap="square" rtlCol="0" anchor="ctr"/>
        <a:lstStyle/>
        <a:p>
          <a:pPr algn="ctr"/>
          <a:r>
            <a:rPr lang="en-US" sz="1100" b="1">
              <a:solidFill>
                <a:srgbClr val="FFFFFF"/>
              </a:solidFill>
            </a:rPr>
            <a:t>Refresh</a:t>
          </a:r>
        </a:p>
      </xdr:txBody>
    </xdr:sp>
    <xdr:clientData/>
  </xdr:twoCellAnchor>
</xdr:wsDr>
</file>

<file path=xl/persons/person.xml><?xml version="1.0" encoding="utf-8"?>
<personList xmlns="http://schemas.microsoft.com/office/spreadsheetml/2018/threadedcomments" xmlns:x="http://schemas.openxmlformats.org/spreadsheetml/2006/mai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AA67808-CB3C-417B-9344-CB465344E1E7}" name="WeeklyLog" displayName="WeeklyLog" ref="A21:I23" totalsRowShown="0" headerRowDxfId="10" dataDxfId="9">
  <autoFilter ref="A21:I23" xr:uid="{FAA67808-CB3C-417B-9344-CB465344E1E7}">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C147C25E-F3F6-4B45-B9D8-E6FCD9403FCD}" name="Week Of" dataDxfId="8"/>
    <tableColumn id="2" xr3:uid="{D5CF7A79-7DDD-4B83-8875-CCD6C8D9E42D}" name="Burnsville Repair Tickets" dataDxfId="7"/>
    <tableColumn id="3" xr3:uid="{C49CEAF5-521E-4B6D-9855-C9264B51FF10}" name="Burnsville PMs" dataDxfId="6"/>
    <tableColumn id="4" xr3:uid="{DEEE7B5D-DDBA-4E11-85BC-C3DC53551764}" name="Burnsville Total" dataDxfId="5">
      <calculatedColumnFormula>WeeklyLog[[#This Row],[Burnsville Repair Tickets]]+WeeklyLog[[#This Row],[Burnsville PMs]]</calculatedColumnFormula>
    </tableColumn>
    <tableColumn id="5" xr3:uid="{87460474-A791-4B36-9A6A-38F4E93B1F7B}" name="Lakeville Repair Tickets" dataDxfId="4"/>
    <tableColumn id="6" xr3:uid="{E558F3A5-D9CB-4C23-AA9F-7293BC7F900F}" name="Lakeville PMs" dataDxfId="3"/>
    <tableColumn id="7" xr3:uid="{C1803D2A-0953-4951-86B5-83796D01D2E4}" name="Lakeville Total" dataDxfId="2">
      <calculatedColumnFormula>WeeklyLog[[#This Row],[Lakeville Repair Tickets]]+WeeklyLog[[#This Row],[Lakeville PMs]]</calculatedColumnFormula>
    </tableColumn>
    <tableColumn id="8" xr3:uid="{8B96D422-70C6-413B-88C0-02987BEE57E8}" name="Combined Total" dataDxfId="1">
      <calculatedColumnFormula>WeeklyLog[[#This Row],[Burnsville Total]]+WeeklyLog[[#This Row],[Lakeville Total]]</calculatedColumnFormula>
    </tableColumn>
    <tableColumn id="9" xr3:uid="{523885D8-48C2-49DC-8CDF-4F86F11AD6A1}" name="Change vs Last Week" dataDxfId="0">
      <calculatedColumnFormula>IFERROR(WeeklyLog[[#This Row],[Combined Total]]-OFFSET(WeeklyLog[[#This Row],[Combined Total]],-1,0),"")</calculatedColumnFormula>
    </tableColumn>
  </tableColumns>
  <tableStyleInfo name="Weekly Log Style" showFirstColumn="0" showLastColumn="0" showRowStripes="0"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openxmlformats.org/officeDocument/2006/relationships/drawing" Target="../drawings/drawing2.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133B0A-06FD-4F6C-BECC-32CA9848D96D}">
  <sheetPr codeName="Sheet1"/>
  <dimension ref="A1:E19"/>
  <sheetViews>
    <sheetView tabSelected="1" workbookViewId="0">
      <selection activeCell="A1" sqref="A1"/>
    </sheetView>
  </sheetViews>
  <sheetFormatPr defaultColWidth="9.140625" defaultRowHeight="15" x14ac:dyDescent="0.25"/>
  <cols>
    <col min="1" max="1" width="10.7109375" style="3" bestFit="1" customWidth="1"/>
    <col min="2" max="2" width="35.140625" style="4" bestFit="1" customWidth="1"/>
    <col min="3" max="3" width="9.140625" style="4"/>
    <col min="4" max="4" width="9.140625" style="4" customWidth="1"/>
    <col min="5" max="5" width="27" style="4" bestFit="1" customWidth="1"/>
    <col min="6" max="16384" width="9.140625" style="4"/>
  </cols>
  <sheetData>
    <row r="1">
      <c r="A1" s="7" t="s">
        <v>0</v>
      </c>
      <c r="B1" s="8"/>
    </row>
    <row r="2" ht="18.75">
      <c r="A2" s="16"/>
      <c r="B2" s="17"/>
    </row>
    <row r="3" ht="15" customHeight="1">
      <c r="A3" s="42" t="s">
        <v>1</v>
      </c>
      <c r="B3" s="42"/>
    </row>
    <row r="4" ht="18.75">
      <c r="A4" s="5">
        <f>COUNTIFS(Sheet1!$B:$B,"BURNSVILLE*")-COUNTIFS(Sheet1!$B:$B,"BURNSVILLE*",Sheet1!$A:$A,"PM*")</f>
        <v>0</v>
      </c>
      <c r="B4" s="6" t="s">
        <v>2</v>
      </c>
    </row>
    <row r="5" ht="18.75">
      <c r="A5" s="5">
        <f>COUNTIFS(Sheet1!$B:$B,"BURNSVILLE*",Sheet1!$A:$A,"PM*")</f>
        <v>0</v>
      </c>
      <c r="B5" s="6" t="s">
        <v>3</v>
      </c>
    </row>
    <row r="6" ht="18.75">
      <c r="A6" s="5">
        <f>A4+A5</f>
        <v>0</v>
      </c>
      <c r="B6" s="6" t="s">
        <v>4</v>
      </c>
    </row>
    <row r="7">
      <c r="A7" s="4"/>
    </row>
    <row r="8" ht="15" customHeight="1">
      <c r="A8" s="43" t="s">
        <v>5</v>
      </c>
      <c r="B8" s="43"/>
    </row>
    <row r="9" ht="18.75">
      <c r="A9" s="5">
        <f>COUNTIFS(Sheet1!$B:$B,"LAKEVILLE*")-COUNTIFS(Sheet1!$B:$B,"LAKEVILLE*",Sheet1!$A:$A,"PM*")</f>
        <v>0</v>
      </c>
      <c r="B9" s="6" t="s">
        <v>2</v>
      </c>
    </row>
    <row r="10" ht="18.75">
      <c r="A10" s="5">
        <f>COUNTIFS(Sheet1!$B:$B,"LAKEVILLE*",Sheet1!$A:$A,"PM*")</f>
        <v>0</v>
      </c>
      <c r="B10" s="6" t="s">
        <v>3</v>
      </c>
    </row>
    <row r="11" ht="18.75">
      <c r="A11" s="5">
        <f>A9+A10</f>
        <v>0</v>
      </c>
      <c r="B11" s="6" t="s">
        <v>4</v>
      </c>
    </row>
    <row r="13" ht="18.75">
      <c r="A13" s="44" t="s">
        <v>6</v>
      </c>
      <c r="B13" s="44"/>
    </row>
    <row r="14" ht="18.75">
      <c r="A14" s="5">
        <f>A6+A11</f>
        <v>0</v>
      </c>
      <c r="B14" s="6" t="s">
        <v>7</v>
      </c>
    </row>
    <row r="16">
      <c r="A16" s="3">
        <f>MAX(0,COUNTA(Sheet1!$A:$A)-1)</f>
        <v>0</v>
      </c>
      <c r="B16" s="4" t="inlineStr">
        <is>
          <t>WORK ORDERS ON SHEET1 (ALL AREAS)</t>
        </is>
      </c>
    </row>
    <row r="17">
      <c r="A17" s="3">
        <f>A16-A14</f>
        <v>0</v>
      </c>
      <c r="B17" s="4" t="inlineStr">
        <is>
          <t>NOT COUNTED (AREA IS NOT BURNSVILLE OR LAKEVILLE)</t>
        </is>
      </c>
    </row>
    <row r="19" ht="30" customHeight="1">
      <c r="A19" s="11" t="str">
        <f>IF(A16=0,"Sheet1 is empty. Paste this week's TabWare export (All Open Work Orders &amp; PMs) onto the Sheet1 tab and the counts fill in here.",IF(OR(Sheet1!$A$1&lt;&gt;"Work Order #",Sheet1!$B$1&lt;&gt;"Area Description"),"Check Sheet1: column A should be Work Order # and column B Area Description, with the header row in row 1.",IF(A17&lt;&gt;0,"Some rows on Sheet1 are not counted: their Area Description is not Burnsville or Lakeville (or they are footer rows). Check them.","Counts are up to date with the data on Sheet1.")))</f>
        <v>Sheet1 is empty. Paste this week's TabWare export (All Open Work Orders &amp; PMs) onto the Sheet1 tab and the counts fill in here.</v>
      </c>
    </row>
  </sheetData>
  <mergeCells count="4">
    <mergeCell ref="A3:B3"/>
    <mergeCell ref="A8:B8"/>
    <mergeCell ref="A13:B13"/>
    <mergeCell ref="A19:E19"/>
  </mergeCells>
  <conditionalFormatting sqref="A17:B17">
    <cfRule type="expression" dxfId="13" priority="1">
      <formula>$A$17&lt;&gt;0</formula>
    </cfRule>
  </conditionalFormatting>
  <conditionalFormatting sqref="A19">
    <cfRule type="expression" dxfId="11" priority="2">
      <formula>LEFT($A$19,6)="Counts"</formula>
    </cfRule>
    <cfRule type="expression" dxfId="14" priority="3">
      <formula>OR(LEFT($A$19,5)="Check",LEFT($A$19,4)="Some")</formula>
    </cfRule>
  </conditionalFormatting>
  <pageMargins left="0.7" right="0.7" top="0.75" bottom="0.75" header="0.3" footer="0.3"/>
  <pageSetup orientation="portrait" r:id="rId1"/>
  <drawing r:id="rId4"/>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DCE489-8187-49B9-8AA2-7AB51891C5DB}">
  <sheetPr>
    <pageSetUpPr fitToPage="1"/>
  </sheetPr>
  <dimension ref="A1:I23"/>
  <sheetViews>
    <sheetView showGridLines="0" zoomScaleNormal="100" workbookViewId="0">
      <selection activeCell="B26" sqref="B26"/>
    </sheetView>
  </sheetViews>
  <sheetFormatPr defaultRowHeight="15" x14ac:dyDescent="0.25"/>
  <cols>
    <col min="1" max="1" width="13.7109375" customWidth="1"/>
    <col min="2" max="2" width="23" customWidth="1"/>
    <col min="3" max="4" width="15.7109375" customWidth="1"/>
    <col min="5" max="5" width="22.140625" customWidth="1"/>
    <col min="6" max="7" width="15.7109375" customWidth="1"/>
    <col min="8" max="8" width="16.28515625" customWidth="1"/>
    <col min="9" max="9" width="20.42578125" customWidth="1"/>
  </cols>
  <sheetData>
    <row r="1" spans="1:1" ht="25.9" customHeight="1" x14ac:dyDescent="0.35">
      <c r="A1" s="32" t="s">
        <v>570</v>
      </c>
    </row>
    <row r="2" spans="1:1" x14ac:dyDescent="0.25">
      <c r="A2" s="33"/>
    </row>
    <row r="21" spans="1:9" ht="31.9" customHeight="1" x14ac:dyDescent="0.25">
      <c r="A21" s="34" t="s">
        <v>571</v>
      </c>
      <c r="B21" s="35" t="s">
        <v>572</v>
      </c>
      <c r="C21" s="35" t="s">
        <v>573</v>
      </c>
      <c r="D21" s="35" t="s">
        <v>574</v>
      </c>
      <c r="E21" s="36" t="s">
        <v>575</v>
      </c>
      <c r="F21" s="36" t="s">
        <v>576</v>
      </c>
      <c r="G21" s="36" t="s">
        <v>577</v>
      </c>
      <c r="H21" s="37" t="s">
        <v>578</v>
      </c>
      <c r="I21" s="37" t="s">
        <v>579</v>
      </c>
    </row>
    <row r="22" spans="1:9" x14ac:dyDescent="0.25">
      <c r="A22" s="39">
        <v>46280</v>
      </c>
      <c r="B22" s="38">
        <v>11</v>
      </c>
      <c r="C22" s="38">
        <v>3</v>
      </c>
      <c r="D22" s="40">
        <f>WeeklyLog[[#This Row],[Burnsville Repair Tickets]]+WeeklyLog[[#This Row],[Burnsville PMs]]</f>
        <v>14</v>
      </c>
      <c r="E22" s="38">
        <v>32</v>
      </c>
      <c r="F22" s="38">
        <v>173</v>
      </c>
      <c r="G22" s="40">
        <f>WeeklyLog[[#This Row],[Lakeville Repair Tickets]]+WeeklyLog[[#This Row],[Lakeville PMs]]</f>
        <v>205</v>
      </c>
      <c r="H22" s="40">
        <f>WeeklyLog[[#This Row],[Burnsville Total]]+WeeklyLog[[#This Row],[Lakeville Total]]</f>
        <v>219</v>
      </c>
      <c r="I22" s="41" t="str">
        <f ca="1">IFERROR(WeeklyLog[[#This Row],[Combined Total]]-OFFSET(WeeklyLog[[#This Row],[Combined Total]],-1,0),"")</f>
        <v/>
      </c>
    </row>
    <row r="23">
      <c r="A23" s="39">
        <v>46286</v>
      </c>
      <c r="B23" s="38">
        <v>6</v>
      </c>
      <c r="C23" s="38">
        <v>6</v>
      </c>
      <c r="D23" s="40">
        <f>WeeklyLog[[#This Row],[Burnsville Repair Tickets]]+WeeklyLog[[#This Row],[Burnsville PMs]]</f>
        <v>12</v>
      </c>
      <c r="E23" s="38">
        <v>38</v>
      </c>
      <c r="F23" s="38">
        <v>240</v>
      </c>
      <c r="G23" s="40">
        <f>WeeklyLog[[#This Row],[Lakeville Repair Tickets]]+WeeklyLog[[#This Row],[Lakeville PMs]]</f>
        <v>278</v>
      </c>
      <c r="H23" s="40">
        <f>WeeklyLog[[#This Row],[Burnsville Total]]+WeeklyLog[[#This Row],[Lakeville Total]]</f>
        <v>290</v>
      </c>
      <c r="I23" s="41">
        <f ca="1">IFERROR(WeeklyLog[[#This Row],[Combined Total]]-OFFSET(WeeklyLog[[#This Row],[Combined Total]],-1,0),"")</f>
        <v>71</v>
      </c>
    </row>
  </sheetData>
  <conditionalFormatting sqref="I22:I1000">
    <cfRule type="expression" dxfId="12" priority="1" stopIfTrue="1">
      <formula>AND(ISNUMBER(I22),I22&gt;0)</formula>
    </cfRule>
    <cfRule type="expression" dxfId="11" priority="2" stopIfTrue="1">
      <formula>AND(ISNUMBER(I22),I22&lt;0)</formula>
    </cfRule>
  </conditionalFormatting>
  <printOptions horizontalCentered="1"/>
  <pageMargins left="0.7" right="0.7" top="0.75" bottom="0.75" header="0.3" footer="0.3"/>
  <pageSetup scale="77" fitToHeight="0" orientation="landscape" r:id="rId1"/>
  <drawing r:id="rId2"/>
  <legacyDrawing r:id="rId3"/>
  <tableParts count="1">
    <tablePart r:id="rId4"/>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5F4E0E-5A27-4E67-BF36-A1AE5674FA6C}">
  <sheetPr codeName="Sheet2"/>
  <dimension ref="A1:N218"/>
  <sheetViews>
    <sheetView workbookViewId="0">
      <pane ySplit="2" topLeftCell="A3" activePane="bottomLeft" state="frozen"/>
      <selection pane="bottomLeft" activeCell="B3" sqref="B3:N1001"/>
    </sheetView>
  </sheetViews>
  <sheetFormatPr defaultColWidth="9.140625" defaultRowHeight="12" x14ac:dyDescent="0.25"/>
  <cols>
    <col min="1" max="1" width="6.42578125" style="14" customWidth="1"/>
    <col min="2" max="2" width="9.85546875" style="13" bestFit="1" customWidth="1"/>
    <col min="3" max="3" width="13.42578125" style="13" bestFit="1" customWidth="1"/>
    <col min="4" max="4" width="9.85546875" style="13" bestFit="1" customWidth="1"/>
    <col min="5" max="5" width="10.28515625" style="15" bestFit="1" customWidth="1"/>
    <col min="6" max="6" width="13.7109375" style="15" bestFit="1" customWidth="1"/>
    <col min="7" max="7" width="13.42578125" style="13" bestFit="1" customWidth="1"/>
    <col min="8" max="8" width="25.140625" style="13" bestFit="1" customWidth="1"/>
    <col min="9" max="9" width="25.28515625" style="13" customWidth="1"/>
    <col min="10" max="10" width="29.42578125" style="13" customWidth="1"/>
    <col min="11" max="11" width="12.42578125" style="13" bestFit="1" customWidth="1"/>
    <col min="12" max="12" width="11.28515625" style="13" bestFit="1" customWidth="1"/>
    <col min="13" max="13" width="8.85546875" style="13" bestFit="1" customWidth="1"/>
    <col min="14" max="14" width="64.28515625" style="12" bestFit="1" customWidth="1"/>
    <col min="15" max="16384" width="9.140625" style="13"/>
  </cols>
  <sheetData>
    <row r="1" spans="1:14" s="1" customFormat="1" ht="15" x14ac:dyDescent="0.25">
      <c r="A1" s="9">
        <f>SUBTOTAL(9,A3:A1000)</f>
        <v>216</v>
      </c>
      <c r="B1" s="11"/>
      <c r="C1" s="11"/>
      <c r="D1" s="11"/>
      <c r="E1" s="11"/>
      <c r="F1" s="11"/>
      <c r="G1" s="11"/>
      <c r="H1" s="11"/>
      <c r="I1" s="11"/>
      <c r="J1" s="11"/>
      <c r="K1" s="11"/>
      <c r="L1" s="11"/>
      <c r="M1" s="11"/>
      <c r="N1" s="11"/>
    </row>
    <row r="2" spans="1:14" s="1" customFormat="1" ht="45" x14ac:dyDescent="0.25">
      <c r="A2" s="2"/>
      <c r="B2" s="10" t="s">
        <v>8</v>
      </c>
      <c r="C2" s="2" t="s">
        <v>9</v>
      </c>
      <c r="D2" s="2" t="s">
        <v>10</v>
      </c>
      <c r="E2" s="2" t="s">
        <v>11</v>
      </c>
      <c r="F2" s="2" t="s">
        <v>12</v>
      </c>
      <c r="G2" s="2" t="s">
        <v>13</v>
      </c>
      <c r="H2" s="2" t="s">
        <v>14</v>
      </c>
      <c r="I2" s="2" t="s">
        <v>15</v>
      </c>
      <c r="J2" s="2" t="s">
        <v>16</v>
      </c>
      <c r="K2" s="2" t="s">
        <v>17</v>
      </c>
      <c r="L2" s="2" t="s">
        <v>18</v>
      </c>
      <c r="M2" s="2" t="s">
        <v>19</v>
      </c>
      <c r="N2" s="2" t="s">
        <v>20</v>
      </c>
    </row>
    <row r="3" spans="1:14" x14ac:dyDescent="0.25">
      <c r="A3" s="14">
        <v>1</v>
      </c>
      <c r="B3" s="13" t="s">
        <v>21</v>
      </c>
      <c r="C3" s="13" t="s">
        <v>1</v>
      </c>
      <c r="D3" s="13" t="s">
        <v>22</v>
      </c>
      <c r="E3" s="15">
        <v>45029</v>
      </c>
      <c r="F3" s="15">
        <v>45029</v>
      </c>
      <c r="G3" s="13" t="s">
        <v>23</v>
      </c>
      <c r="H3" s="13" t="s">
        <v>24</v>
      </c>
      <c r="I3" s="13" t="s">
        <v>25</v>
      </c>
      <c r="J3" s="13" t="s">
        <v>26</v>
      </c>
      <c r="M3" s="13">
        <v>0</v>
      </c>
    </row>
    <row r="4" spans="1:14" ht="84" x14ac:dyDescent="0.25">
      <c r="A4" s="14">
        <v>1</v>
      </c>
      <c r="B4" s="13" t="s">
        <v>27</v>
      </c>
      <c r="C4" s="13" t="s">
        <v>1</v>
      </c>
      <c r="D4" s="13" t="s">
        <v>22</v>
      </c>
      <c r="E4" s="15">
        <v>45236</v>
      </c>
      <c r="F4" s="15">
        <v>45236</v>
      </c>
      <c r="G4" s="13" t="s">
        <v>23</v>
      </c>
      <c r="H4" s="13" t="s">
        <v>28</v>
      </c>
      <c r="I4" s="13" t="s">
        <v>29</v>
      </c>
      <c r="J4" s="13" t="s">
        <v>30</v>
      </c>
      <c r="K4" s="13" t="s">
        <v>31</v>
      </c>
      <c r="M4" s="13">
        <v>2</v>
      </c>
      <c r="N4" s="12" t="s">
        <v>32</v>
      </c>
    </row>
    <row r="5" spans="1:14" x14ac:dyDescent="0.25">
      <c r="A5" s="14">
        <v>1</v>
      </c>
      <c r="B5" s="13" t="s">
        <v>33</v>
      </c>
      <c r="C5" s="13" t="s">
        <v>1</v>
      </c>
      <c r="D5" s="13" t="s">
        <v>34</v>
      </c>
      <c r="E5" s="15">
        <v>45169</v>
      </c>
      <c r="F5" s="15">
        <v>45197</v>
      </c>
      <c r="G5" s="13" t="s">
        <v>23</v>
      </c>
      <c r="H5" s="13" t="s">
        <v>35</v>
      </c>
      <c r="I5" s="13" t="s">
        <v>36</v>
      </c>
      <c r="J5" s="13" t="s">
        <v>37</v>
      </c>
      <c r="M5" s="13">
        <v>0</v>
      </c>
    </row>
    <row r="6" spans="1:14" x14ac:dyDescent="0.25">
      <c r="A6" s="14">
        <v>1</v>
      </c>
      <c r="B6" s="13" t="s">
        <v>38</v>
      </c>
      <c r="C6" s="13" t="s">
        <v>1</v>
      </c>
      <c r="D6" s="13" t="s">
        <v>34</v>
      </c>
      <c r="E6" s="15">
        <v>45169</v>
      </c>
      <c r="F6" s="15">
        <v>45197</v>
      </c>
      <c r="G6" s="13" t="s">
        <v>23</v>
      </c>
      <c r="H6" s="13" t="s">
        <v>35</v>
      </c>
      <c r="I6" s="13" t="s">
        <v>39</v>
      </c>
      <c r="J6" s="13" t="s">
        <v>37</v>
      </c>
      <c r="M6" s="13">
        <v>0</v>
      </c>
    </row>
    <row r="7" spans="1:14" x14ac:dyDescent="0.25">
      <c r="A7" s="14">
        <v>1</v>
      </c>
      <c r="B7" s="13" t="s">
        <v>40</v>
      </c>
      <c r="C7" s="13" t="s">
        <v>1</v>
      </c>
      <c r="D7" s="13" t="s">
        <v>34</v>
      </c>
      <c r="E7" s="15">
        <v>45169</v>
      </c>
      <c r="F7" s="15">
        <v>45197</v>
      </c>
      <c r="G7" s="13" t="s">
        <v>23</v>
      </c>
      <c r="H7" s="13" t="s">
        <v>35</v>
      </c>
      <c r="I7" s="13" t="s">
        <v>41</v>
      </c>
      <c r="J7" s="13" t="s">
        <v>37</v>
      </c>
      <c r="M7" s="13">
        <v>0</v>
      </c>
    </row>
    <row r="8" spans="1:14" x14ac:dyDescent="0.25">
      <c r="A8" s="14">
        <v>1</v>
      </c>
      <c r="B8" s="13" t="s">
        <v>42</v>
      </c>
      <c r="C8" s="13" t="s">
        <v>1</v>
      </c>
      <c r="D8" s="13" t="s">
        <v>34</v>
      </c>
      <c r="E8" s="15">
        <v>45169</v>
      </c>
      <c r="F8" s="15">
        <v>45197</v>
      </c>
      <c r="G8" s="13" t="s">
        <v>23</v>
      </c>
      <c r="H8" s="13" t="s">
        <v>35</v>
      </c>
      <c r="I8" s="13" t="s">
        <v>43</v>
      </c>
      <c r="J8" s="13" t="s">
        <v>37</v>
      </c>
      <c r="M8" s="13">
        <v>0</v>
      </c>
    </row>
    <row r="9" spans="1:14" x14ac:dyDescent="0.25">
      <c r="A9" s="14">
        <v>1</v>
      </c>
      <c r="B9" s="13" t="s">
        <v>44</v>
      </c>
      <c r="C9" s="13" t="s">
        <v>1</v>
      </c>
      <c r="D9" s="13" t="s">
        <v>34</v>
      </c>
      <c r="E9" s="15">
        <v>45169</v>
      </c>
      <c r="F9" s="15">
        <v>45197</v>
      </c>
      <c r="G9" s="13" t="s">
        <v>23</v>
      </c>
      <c r="H9" s="13" t="s">
        <v>35</v>
      </c>
      <c r="I9" s="13" t="s">
        <v>45</v>
      </c>
      <c r="J9" s="13" t="s">
        <v>37</v>
      </c>
      <c r="M9" s="13">
        <v>0</v>
      </c>
    </row>
    <row r="10" spans="1:14" x14ac:dyDescent="0.25">
      <c r="A10" s="14">
        <v>1</v>
      </c>
      <c r="B10" s="13" t="s">
        <v>46</v>
      </c>
      <c r="C10" s="13" t="s">
        <v>1</v>
      </c>
      <c r="D10" s="13" t="s">
        <v>34</v>
      </c>
      <c r="E10" s="15">
        <v>45225</v>
      </c>
      <c r="F10" s="15">
        <v>45253</v>
      </c>
      <c r="G10" s="13" t="s">
        <v>23</v>
      </c>
      <c r="H10" s="13" t="s">
        <v>47</v>
      </c>
      <c r="I10" s="13" t="s">
        <v>48</v>
      </c>
      <c r="J10" s="13" t="s">
        <v>49</v>
      </c>
      <c r="M10" s="13">
        <v>0</v>
      </c>
    </row>
    <row r="11" spans="1:14" x14ac:dyDescent="0.25">
      <c r="A11" s="14">
        <v>1</v>
      </c>
      <c r="B11" s="13" t="s">
        <v>50</v>
      </c>
      <c r="C11" s="13" t="s">
        <v>1</v>
      </c>
      <c r="D11" s="13" t="s">
        <v>34</v>
      </c>
      <c r="E11" s="15">
        <v>45225</v>
      </c>
      <c r="F11" s="15">
        <v>45253</v>
      </c>
      <c r="G11" s="13" t="s">
        <v>23</v>
      </c>
      <c r="H11" s="13" t="s">
        <v>47</v>
      </c>
      <c r="I11" s="13" t="s">
        <v>51</v>
      </c>
      <c r="J11" s="13" t="s">
        <v>49</v>
      </c>
      <c r="M11" s="13">
        <v>0</v>
      </c>
    </row>
    <row r="12" spans="1:14" x14ac:dyDescent="0.25">
      <c r="A12" s="14">
        <v>1</v>
      </c>
      <c r="B12" s="13" t="s">
        <v>52</v>
      </c>
      <c r="C12" s="13" t="s">
        <v>1</v>
      </c>
      <c r="D12" s="13" t="s">
        <v>34</v>
      </c>
      <c r="E12" s="15">
        <v>45225</v>
      </c>
      <c r="F12" s="15">
        <v>45253</v>
      </c>
      <c r="G12" s="13" t="s">
        <v>23</v>
      </c>
      <c r="H12" s="13" t="s">
        <v>47</v>
      </c>
      <c r="I12" s="13" t="s">
        <v>53</v>
      </c>
      <c r="J12" s="13" t="s">
        <v>49</v>
      </c>
      <c r="M12" s="13">
        <v>0</v>
      </c>
    </row>
    <row r="13" spans="1:14" x14ac:dyDescent="0.25">
      <c r="A13" s="14">
        <v>1</v>
      </c>
      <c r="B13" s="13" t="s">
        <v>54</v>
      </c>
      <c r="C13" s="13" t="s">
        <v>1</v>
      </c>
      <c r="D13" s="13" t="s">
        <v>34</v>
      </c>
      <c r="E13" s="15">
        <v>45246</v>
      </c>
      <c r="F13" s="15">
        <v>45253</v>
      </c>
      <c r="G13" s="13" t="s">
        <v>23</v>
      </c>
      <c r="H13" s="13" t="s">
        <v>55</v>
      </c>
      <c r="I13" s="13" t="s">
        <v>25</v>
      </c>
      <c r="J13" s="13" t="s">
        <v>56</v>
      </c>
      <c r="L13" s="13" t="s">
        <v>57</v>
      </c>
      <c r="M13" s="13">
        <v>0</v>
      </c>
    </row>
    <row r="14" spans="1:14" x14ac:dyDescent="0.25">
      <c r="A14" s="14">
        <v>1</v>
      </c>
      <c r="B14" s="13" t="s">
        <v>58</v>
      </c>
      <c r="C14" s="13" t="s">
        <v>1</v>
      </c>
      <c r="D14" s="13" t="s">
        <v>34</v>
      </c>
      <c r="E14" s="15">
        <v>45246</v>
      </c>
      <c r="F14" s="15">
        <v>45253</v>
      </c>
      <c r="G14" s="13" t="s">
        <v>23</v>
      </c>
      <c r="H14" s="13" t="s">
        <v>59</v>
      </c>
      <c r="I14" s="13" t="s">
        <v>60</v>
      </c>
      <c r="J14" s="13" t="s">
        <v>56</v>
      </c>
      <c r="L14" s="13" t="s">
        <v>57</v>
      </c>
      <c r="M14" s="13">
        <v>0</v>
      </c>
    </row>
    <row r="15" spans="1:14" x14ac:dyDescent="0.25">
      <c r="A15" s="14">
        <v>1</v>
      </c>
      <c r="B15" s="13" t="s">
        <v>61</v>
      </c>
      <c r="C15" s="13" t="s">
        <v>1</v>
      </c>
      <c r="D15" s="13" t="s">
        <v>34</v>
      </c>
      <c r="E15" s="15">
        <v>45248</v>
      </c>
      <c r="F15" s="15">
        <v>45253</v>
      </c>
      <c r="G15" s="13" t="s">
        <v>23</v>
      </c>
      <c r="H15" s="13" t="s">
        <v>62</v>
      </c>
      <c r="I15" s="13" t="s">
        <v>63</v>
      </c>
      <c r="J15" s="13" t="s">
        <v>56</v>
      </c>
      <c r="M15" s="13">
        <v>0</v>
      </c>
    </row>
    <row r="16" spans="1:14" x14ac:dyDescent="0.25">
      <c r="A16" s="14">
        <v>1</v>
      </c>
      <c r="B16" s="13" t="s">
        <v>64</v>
      </c>
      <c r="C16" s="13" t="s">
        <v>1</v>
      </c>
      <c r="D16" s="13" t="s">
        <v>34</v>
      </c>
      <c r="E16" s="15">
        <v>45227</v>
      </c>
      <c r="F16" s="15">
        <v>45255</v>
      </c>
      <c r="G16" s="13" t="s">
        <v>23</v>
      </c>
      <c r="H16" s="13" t="s">
        <v>65</v>
      </c>
      <c r="I16" s="13" t="s">
        <v>66</v>
      </c>
      <c r="J16" s="13" t="s">
        <v>49</v>
      </c>
      <c r="M16" s="13">
        <v>0</v>
      </c>
    </row>
    <row r="17" spans="1:13" x14ac:dyDescent="0.25">
      <c r="A17" s="14">
        <v>1</v>
      </c>
      <c r="B17" s="13" t="s">
        <v>67</v>
      </c>
      <c r="C17" s="13" t="s">
        <v>1</v>
      </c>
      <c r="D17" s="13" t="s">
        <v>34</v>
      </c>
      <c r="E17" s="15">
        <v>45230</v>
      </c>
      <c r="F17" s="15">
        <v>45258</v>
      </c>
      <c r="G17" s="13" t="s">
        <v>23</v>
      </c>
      <c r="H17" s="13" t="s">
        <v>68</v>
      </c>
      <c r="I17" s="13" t="s">
        <v>39</v>
      </c>
      <c r="J17" s="13" t="s">
        <v>49</v>
      </c>
      <c r="M17" s="13">
        <v>0</v>
      </c>
    </row>
    <row r="18" spans="1:13" x14ac:dyDescent="0.25">
      <c r="A18" s="14">
        <v>1</v>
      </c>
      <c r="B18" s="13" t="s">
        <v>69</v>
      </c>
      <c r="C18" s="13" t="s">
        <v>1</v>
      </c>
      <c r="D18" s="13" t="s">
        <v>34</v>
      </c>
      <c r="E18" s="15">
        <v>45230</v>
      </c>
      <c r="F18" s="15">
        <v>45258</v>
      </c>
      <c r="G18" s="13" t="s">
        <v>23</v>
      </c>
      <c r="H18" s="13" t="s">
        <v>68</v>
      </c>
      <c r="I18" s="13" t="s">
        <v>41</v>
      </c>
      <c r="J18" s="13" t="s">
        <v>49</v>
      </c>
      <c r="M18" s="13">
        <v>0</v>
      </c>
    </row>
    <row r="19" spans="1:13" x14ac:dyDescent="0.25">
      <c r="A19" s="14">
        <v>1</v>
      </c>
      <c r="B19" s="13" t="s">
        <v>70</v>
      </c>
      <c r="C19" s="13" t="s">
        <v>1</v>
      </c>
      <c r="D19" s="13" t="s">
        <v>34</v>
      </c>
      <c r="E19" s="15">
        <v>45230</v>
      </c>
      <c r="F19" s="15">
        <v>45258</v>
      </c>
      <c r="G19" s="13" t="s">
        <v>23</v>
      </c>
      <c r="H19" s="13" t="s">
        <v>68</v>
      </c>
      <c r="I19" s="13" t="s">
        <v>43</v>
      </c>
      <c r="J19" s="13" t="s">
        <v>49</v>
      </c>
      <c r="M19" s="13">
        <v>0</v>
      </c>
    </row>
    <row r="20" spans="1:13" x14ac:dyDescent="0.25">
      <c r="A20" s="14">
        <v>1</v>
      </c>
      <c r="B20" s="13" t="s">
        <v>71</v>
      </c>
      <c r="C20" s="13" t="s">
        <v>1</v>
      </c>
      <c r="D20" s="13" t="s">
        <v>34</v>
      </c>
      <c r="E20" s="15">
        <v>45230</v>
      </c>
      <c r="F20" s="15">
        <v>45258</v>
      </c>
      <c r="G20" s="13" t="s">
        <v>23</v>
      </c>
      <c r="H20" s="13" t="s">
        <v>68</v>
      </c>
      <c r="I20" s="13" t="s">
        <v>45</v>
      </c>
      <c r="J20" s="13" t="s">
        <v>49</v>
      </c>
      <c r="M20" s="13">
        <v>0</v>
      </c>
    </row>
    <row r="21" spans="1:13" x14ac:dyDescent="0.25">
      <c r="A21" s="14">
        <v>1</v>
      </c>
      <c r="B21" s="13" t="s">
        <v>72</v>
      </c>
      <c r="C21" s="13" t="s">
        <v>1</v>
      </c>
      <c r="D21" s="13" t="s">
        <v>34</v>
      </c>
      <c r="E21" s="15">
        <v>45230</v>
      </c>
      <c r="F21" s="15">
        <v>45258</v>
      </c>
      <c r="G21" s="13" t="s">
        <v>23</v>
      </c>
      <c r="H21" s="13" t="s">
        <v>73</v>
      </c>
      <c r="I21" s="13" t="s">
        <v>74</v>
      </c>
      <c r="J21" s="13" t="s">
        <v>49</v>
      </c>
      <c r="M21" s="13">
        <v>0</v>
      </c>
    </row>
    <row r="22" spans="1:13" x14ac:dyDescent="0.25">
      <c r="A22" s="14">
        <v>1</v>
      </c>
      <c r="B22" s="13" t="s">
        <v>75</v>
      </c>
      <c r="C22" s="13" t="s">
        <v>1</v>
      </c>
      <c r="D22" s="13" t="s">
        <v>34</v>
      </c>
      <c r="E22" s="15">
        <v>45230</v>
      </c>
      <c r="F22" s="15">
        <v>45258</v>
      </c>
      <c r="G22" s="13" t="s">
        <v>23</v>
      </c>
      <c r="H22" s="13" t="s">
        <v>76</v>
      </c>
      <c r="I22" s="13" t="s">
        <v>77</v>
      </c>
      <c r="J22" s="13" t="s">
        <v>49</v>
      </c>
      <c r="M22" s="13">
        <v>0</v>
      </c>
    </row>
    <row r="23" spans="1:13" x14ac:dyDescent="0.25">
      <c r="A23" s="14">
        <v>1</v>
      </c>
      <c r="B23" s="13" t="s">
        <v>78</v>
      </c>
      <c r="C23" s="13" t="s">
        <v>1</v>
      </c>
      <c r="D23" s="13" t="s">
        <v>34</v>
      </c>
      <c r="E23" s="15">
        <v>45237</v>
      </c>
      <c r="F23" s="15">
        <v>45258</v>
      </c>
      <c r="G23" s="13" t="s">
        <v>23</v>
      </c>
      <c r="H23" s="13" t="s">
        <v>79</v>
      </c>
      <c r="I23" s="13" t="s">
        <v>80</v>
      </c>
      <c r="J23" s="13" t="s">
        <v>81</v>
      </c>
      <c r="M23" s="13">
        <v>0</v>
      </c>
    </row>
    <row r="24" spans="1:13" x14ac:dyDescent="0.25">
      <c r="A24" s="14">
        <v>1</v>
      </c>
      <c r="B24" s="13" t="s">
        <v>82</v>
      </c>
      <c r="C24" s="13" t="s">
        <v>1</v>
      </c>
      <c r="D24" s="13" t="s">
        <v>34</v>
      </c>
      <c r="E24" s="15">
        <v>45231</v>
      </c>
      <c r="F24" s="15">
        <v>45259</v>
      </c>
      <c r="G24" s="13" t="s">
        <v>23</v>
      </c>
      <c r="H24" s="13" t="s">
        <v>83</v>
      </c>
      <c r="I24" s="13" t="s">
        <v>84</v>
      </c>
      <c r="J24" s="13" t="s">
        <v>81</v>
      </c>
      <c r="M24" s="13">
        <v>0</v>
      </c>
    </row>
    <row r="25" spans="1:13" x14ac:dyDescent="0.25">
      <c r="A25" s="14">
        <v>1</v>
      </c>
      <c r="B25" s="13" t="s">
        <v>85</v>
      </c>
      <c r="C25" s="13" t="s">
        <v>1</v>
      </c>
      <c r="D25" s="13" t="s">
        <v>34</v>
      </c>
      <c r="E25" s="15">
        <v>45232</v>
      </c>
      <c r="F25" s="15">
        <v>45260</v>
      </c>
      <c r="G25" s="13" t="s">
        <v>23</v>
      </c>
      <c r="H25" s="13" t="s">
        <v>83</v>
      </c>
      <c r="I25" s="13" t="s">
        <v>86</v>
      </c>
      <c r="J25" s="13" t="s">
        <v>81</v>
      </c>
      <c r="M25" s="13">
        <v>0</v>
      </c>
    </row>
    <row r="26" spans="1:13" x14ac:dyDescent="0.25">
      <c r="A26" s="14">
        <v>1</v>
      </c>
      <c r="B26" s="13" t="s">
        <v>87</v>
      </c>
      <c r="C26" s="13" t="s">
        <v>1</v>
      </c>
      <c r="D26" s="13" t="s">
        <v>34</v>
      </c>
      <c r="E26" s="15">
        <v>45233</v>
      </c>
      <c r="F26" s="15">
        <v>45261</v>
      </c>
      <c r="G26" s="13" t="s">
        <v>23</v>
      </c>
      <c r="H26" s="13" t="s">
        <v>88</v>
      </c>
      <c r="I26" s="13" t="s">
        <v>89</v>
      </c>
      <c r="J26" s="13" t="s">
        <v>49</v>
      </c>
      <c r="M26" s="13">
        <v>0</v>
      </c>
    </row>
    <row r="27" spans="1:13" x14ac:dyDescent="0.25">
      <c r="A27" s="14">
        <v>1</v>
      </c>
      <c r="B27" s="13" t="s">
        <v>90</v>
      </c>
      <c r="C27" s="13" t="s">
        <v>1</v>
      </c>
      <c r="D27" s="13" t="s">
        <v>34</v>
      </c>
      <c r="E27" s="15">
        <v>45233</v>
      </c>
      <c r="F27" s="15">
        <v>45261</v>
      </c>
      <c r="G27" s="13" t="s">
        <v>23</v>
      </c>
      <c r="H27" s="13" t="s">
        <v>47</v>
      </c>
      <c r="I27" s="13" t="s">
        <v>91</v>
      </c>
      <c r="J27" s="13" t="s">
        <v>49</v>
      </c>
      <c r="M27" s="13">
        <v>0</v>
      </c>
    </row>
    <row r="28" spans="1:13" x14ac:dyDescent="0.25">
      <c r="A28" s="14">
        <v>1</v>
      </c>
      <c r="B28" s="13" t="s">
        <v>92</v>
      </c>
      <c r="C28" s="13" t="s">
        <v>1</v>
      </c>
      <c r="D28" s="13" t="s">
        <v>34</v>
      </c>
      <c r="E28" s="15">
        <v>45233</v>
      </c>
      <c r="F28" s="15">
        <v>45261</v>
      </c>
      <c r="G28" s="13" t="s">
        <v>23</v>
      </c>
      <c r="H28" s="13" t="s">
        <v>93</v>
      </c>
      <c r="I28" s="13" t="s">
        <v>94</v>
      </c>
      <c r="J28" s="13" t="s">
        <v>49</v>
      </c>
      <c r="M28" s="13">
        <v>0</v>
      </c>
    </row>
    <row r="29" spans="1:13" x14ac:dyDescent="0.25">
      <c r="A29" s="14">
        <v>1</v>
      </c>
      <c r="B29" s="13" t="s">
        <v>95</v>
      </c>
      <c r="C29" s="13" t="s">
        <v>1</v>
      </c>
      <c r="D29" s="13" t="s">
        <v>34</v>
      </c>
      <c r="E29" s="15">
        <v>45233</v>
      </c>
      <c r="F29" s="15">
        <v>45261</v>
      </c>
      <c r="G29" s="13" t="s">
        <v>23</v>
      </c>
      <c r="H29" s="13" t="s">
        <v>47</v>
      </c>
      <c r="I29" s="13" t="s">
        <v>96</v>
      </c>
      <c r="J29" s="13" t="s">
        <v>49</v>
      </c>
      <c r="M29" s="13">
        <v>0</v>
      </c>
    </row>
    <row r="30" spans="1:13" x14ac:dyDescent="0.25">
      <c r="A30" s="14">
        <v>1</v>
      </c>
      <c r="B30" s="13" t="s">
        <v>97</v>
      </c>
      <c r="C30" s="13" t="s">
        <v>1</v>
      </c>
      <c r="D30" s="13" t="s">
        <v>34</v>
      </c>
      <c r="E30" s="15">
        <v>45233</v>
      </c>
      <c r="F30" s="15">
        <v>45261</v>
      </c>
      <c r="G30" s="13" t="s">
        <v>23</v>
      </c>
      <c r="H30" s="13" t="s">
        <v>98</v>
      </c>
      <c r="I30" s="13" t="s">
        <v>99</v>
      </c>
      <c r="J30" s="13" t="s">
        <v>49</v>
      </c>
      <c r="M30" s="13">
        <v>0</v>
      </c>
    </row>
    <row r="31" spans="1:13" x14ac:dyDescent="0.25">
      <c r="A31" s="14">
        <v>1</v>
      </c>
      <c r="B31" s="13" t="s">
        <v>100</v>
      </c>
      <c r="C31" s="13" t="s">
        <v>1</v>
      </c>
      <c r="D31" s="13" t="s">
        <v>34</v>
      </c>
      <c r="E31" s="15">
        <v>45233</v>
      </c>
      <c r="F31" s="15">
        <v>45261</v>
      </c>
      <c r="G31" s="13" t="s">
        <v>23</v>
      </c>
      <c r="H31" s="13" t="s">
        <v>98</v>
      </c>
      <c r="I31" s="13" t="s">
        <v>101</v>
      </c>
      <c r="J31" s="13" t="s">
        <v>49</v>
      </c>
      <c r="M31" s="13">
        <v>0</v>
      </c>
    </row>
    <row r="32" spans="1:13" x14ac:dyDescent="0.25">
      <c r="A32" s="14">
        <v>1</v>
      </c>
      <c r="B32" s="13" t="s">
        <v>102</v>
      </c>
      <c r="C32" s="13" t="s">
        <v>1</v>
      </c>
      <c r="D32" s="13" t="s">
        <v>34</v>
      </c>
      <c r="E32" s="15">
        <v>45233</v>
      </c>
      <c r="F32" s="15">
        <v>45261</v>
      </c>
      <c r="G32" s="13" t="s">
        <v>23</v>
      </c>
      <c r="H32" s="13" t="s">
        <v>98</v>
      </c>
      <c r="I32" s="13" t="s">
        <v>103</v>
      </c>
      <c r="J32" s="13" t="s">
        <v>49</v>
      </c>
      <c r="M32" s="13">
        <v>0</v>
      </c>
    </row>
    <row r="33" spans="1:13" x14ac:dyDescent="0.25">
      <c r="A33" s="14">
        <v>1</v>
      </c>
      <c r="B33" s="13" t="s">
        <v>104</v>
      </c>
      <c r="C33" s="13" t="s">
        <v>1</v>
      </c>
      <c r="D33" s="13" t="s">
        <v>34</v>
      </c>
      <c r="E33" s="15">
        <v>45233</v>
      </c>
      <c r="F33" s="15">
        <v>45261</v>
      </c>
      <c r="G33" s="13" t="s">
        <v>23</v>
      </c>
      <c r="H33" s="13" t="s">
        <v>98</v>
      </c>
      <c r="I33" s="13" t="s">
        <v>105</v>
      </c>
      <c r="J33" s="13" t="s">
        <v>49</v>
      </c>
      <c r="M33" s="13">
        <v>0</v>
      </c>
    </row>
    <row r="34" spans="1:13" x14ac:dyDescent="0.25">
      <c r="A34" s="14">
        <v>1</v>
      </c>
      <c r="B34" s="13" t="s">
        <v>106</v>
      </c>
      <c r="C34" s="13" t="s">
        <v>1</v>
      </c>
      <c r="D34" s="13" t="s">
        <v>34</v>
      </c>
      <c r="E34" s="15">
        <v>45233</v>
      </c>
      <c r="F34" s="15">
        <v>45261</v>
      </c>
      <c r="G34" s="13" t="s">
        <v>23</v>
      </c>
      <c r="H34" s="13" t="s">
        <v>98</v>
      </c>
      <c r="I34" s="13" t="s">
        <v>107</v>
      </c>
      <c r="J34" s="13" t="s">
        <v>49</v>
      </c>
      <c r="M34" s="13">
        <v>0</v>
      </c>
    </row>
    <row r="35" spans="1:13" x14ac:dyDescent="0.25">
      <c r="A35" s="14">
        <v>1</v>
      </c>
      <c r="B35" s="13" t="s">
        <v>108</v>
      </c>
      <c r="C35" s="13" t="s">
        <v>1</v>
      </c>
      <c r="D35" s="13" t="s">
        <v>34</v>
      </c>
      <c r="E35" s="15">
        <v>45233</v>
      </c>
      <c r="F35" s="15">
        <v>45261</v>
      </c>
      <c r="G35" s="13" t="s">
        <v>23</v>
      </c>
      <c r="H35" s="13" t="s">
        <v>109</v>
      </c>
      <c r="I35" s="13" t="s">
        <v>110</v>
      </c>
      <c r="J35" s="13" t="s">
        <v>49</v>
      </c>
      <c r="M35" s="13">
        <v>0</v>
      </c>
    </row>
    <row r="36" spans="1:13" x14ac:dyDescent="0.25">
      <c r="A36" s="14">
        <v>1</v>
      </c>
      <c r="B36" s="13" t="s">
        <v>111</v>
      </c>
      <c r="C36" s="13" t="s">
        <v>1</v>
      </c>
      <c r="D36" s="13" t="s">
        <v>34</v>
      </c>
      <c r="E36" s="15">
        <v>45234</v>
      </c>
      <c r="F36" s="15">
        <v>45262</v>
      </c>
      <c r="G36" s="13" t="s">
        <v>23</v>
      </c>
      <c r="H36" s="13" t="s">
        <v>65</v>
      </c>
      <c r="I36" s="13" t="s">
        <v>112</v>
      </c>
      <c r="J36" s="13" t="s">
        <v>49</v>
      </c>
      <c r="M36" s="13">
        <v>0</v>
      </c>
    </row>
    <row r="37" spans="1:13" x14ac:dyDescent="0.25">
      <c r="A37" s="14">
        <v>1</v>
      </c>
      <c r="B37" s="13" t="s">
        <v>113</v>
      </c>
      <c r="C37" s="13" t="s">
        <v>1</v>
      </c>
      <c r="D37" s="13" t="s">
        <v>34</v>
      </c>
      <c r="E37" s="15">
        <v>45234</v>
      </c>
      <c r="F37" s="15">
        <v>45262</v>
      </c>
      <c r="G37" s="13" t="s">
        <v>23</v>
      </c>
      <c r="H37" s="13" t="s">
        <v>109</v>
      </c>
      <c r="I37" s="13" t="s">
        <v>114</v>
      </c>
      <c r="J37" s="13" t="s">
        <v>49</v>
      </c>
      <c r="M37" s="13">
        <v>0</v>
      </c>
    </row>
    <row r="38" spans="1:13" x14ac:dyDescent="0.25">
      <c r="A38" s="14">
        <v>1</v>
      </c>
      <c r="B38" s="13" t="s">
        <v>115</v>
      </c>
      <c r="C38" s="13" t="s">
        <v>1</v>
      </c>
      <c r="D38" s="13" t="s">
        <v>34</v>
      </c>
      <c r="E38" s="15">
        <v>45234</v>
      </c>
      <c r="F38" s="15">
        <v>45262</v>
      </c>
      <c r="G38" s="13" t="s">
        <v>23</v>
      </c>
      <c r="H38" s="13" t="s">
        <v>109</v>
      </c>
      <c r="I38" s="13" t="s">
        <v>116</v>
      </c>
      <c r="J38" s="13" t="s">
        <v>49</v>
      </c>
      <c r="M38" s="13">
        <v>0</v>
      </c>
    </row>
    <row r="39" spans="1:13" x14ac:dyDescent="0.25">
      <c r="A39" s="14">
        <v>1</v>
      </c>
      <c r="B39" s="13" t="s">
        <v>117</v>
      </c>
      <c r="C39" s="13" t="s">
        <v>1</v>
      </c>
      <c r="D39" s="13" t="s">
        <v>34</v>
      </c>
      <c r="E39" s="15">
        <v>45234</v>
      </c>
      <c r="F39" s="15">
        <v>45262</v>
      </c>
      <c r="G39" s="13" t="s">
        <v>23</v>
      </c>
      <c r="H39" s="13" t="s">
        <v>109</v>
      </c>
      <c r="I39" s="13" t="s">
        <v>118</v>
      </c>
      <c r="J39" s="13" t="s">
        <v>49</v>
      </c>
      <c r="M39" s="13">
        <v>0</v>
      </c>
    </row>
    <row r="40" spans="1:13" x14ac:dyDescent="0.25">
      <c r="A40" s="14">
        <v>1</v>
      </c>
      <c r="B40" s="13" t="s">
        <v>119</v>
      </c>
      <c r="C40" s="13" t="s">
        <v>1</v>
      </c>
      <c r="D40" s="13" t="s">
        <v>34</v>
      </c>
      <c r="E40" s="15">
        <v>45238</v>
      </c>
      <c r="F40" s="15">
        <v>45266</v>
      </c>
      <c r="G40" s="13" t="s">
        <v>23</v>
      </c>
      <c r="H40" s="13" t="s">
        <v>83</v>
      </c>
      <c r="I40" s="13" t="s">
        <v>120</v>
      </c>
      <c r="J40" s="13" t="s">
        <v>81</v>
      </c>
      <c r="M40" s="13">
        <v>0</v>
      </c>
    </row>
    <row r="41" spans="1:13" x14ac:dyDescent="0.25">
      <c r="A41" s="14">
        <v>1</v>
      </c>
      <c r="B41" s="13" t="s">
        <v>121</v>
      </c>
      <c r="C41" s="13" t="s">
        <v>1</v>
      </c>
      <c r="D41" s="13" t="s">
        <v>34</v>
      </c>
      <c r="E41" s="15">
        <v>45238</v>
      </c>
      <c r="F41" s="15">
        <v>45266</v>
      </c>
      <c r="G41" s="13" t="s">
        <v>23</v>
      </c>
      <c r="H41" s="13" t="s">
        <v>83</v>
      </c>
      <c r="I41" s="13" t="s">
        <v>122</v>
      </c>
      <c r="J41" s="13" t="s">
        <v>81</v>
      </c>
      <c r="M41" s="13">
        <v>0</v>
      </c>
    </row>
    <row r="42" spans="1:13" x14ac:dyDescent="0.25">
      <c r="A42" s="14">
        <v>1</v>
      </c>
      <c r="B42" s="13" t="s">
        <v>123</v>
      </c>
      <c r="C42" s="13" t="s">
        <v>1</v>
      </c>
      <c r="D42" s="13" t="s">
        <v>34</v>
      </c>
      <c r="E42" s="15">
        <v>45239</v>
      </c>
      <c r="F42" s="15">
        <v>45267</v>
      </c>
      <c r="G42" s="13" t="s">
        <v>23</v>
      </c>
      <c r="H42" s="13" t="s">
        <v>65</v>
      </c>
      <c r="I42" s="13" t="s">
        <v>124</v>
      </c>
      <c r="J42" s="13" t="s">
        <v>49</v>
      </c>
      <c r="M42" s="13">
        <v>0</v>
      </c>
    </row>
    <row r="43" spans="1:13" x14ac:dyDescent="0.25">
      <c r="A43" s="14">
        <v>1</v>
      </c>
      <c r="B43" s="13" t="s">
        <v>125</v>
      </c>
      <c r="C43" s="13" t="s">
        <v>1</v>
      </c>
      <c r="D43" s="13" t="s">
        <v>34</v>
      </c>
      <c r="E43" s="15">
        <v>45239</v>
      </c>
      <c r="F43" s="15">
        <v>45267</v>
      </c>
      <c r="G43" s="13" t="s">
        <v>23</v>
      </c>
      <c r="H43" s="13" t="s">
        <v>65</v>
      </c>
      <c r="I43" s="13" t="s">
        <v>126</v>
      </c>
      <c r="J43" s="13" t="s">
        <v>49</v>
      </c>
      <c r="M43" s="13">
        <v>0</v>
      </c>
    </row>
    <row r="44" spans="1:13" x14ac:dyDescent="0.25">
      <c r="A44" s="14">
        <v>1</v>
      </c>
      <c r="B44" s="13" t="s">
        <v>127</v>
      </c>
      <c r="C44" s="13" t="s">
        <v>1</v>
      </c>
      <c r="D44" s="13" t="s">
        <v>34</v>
      </c>
      <c r="E44" s="15">
        <v>45239</v>
      </c>
      <c r="F44" s="15">
        <v>45267</v>
      </c>
      <c r="G44" s="13" t="s">
        <v>23</v>
      </c>
      <c r="H44" s="13" t="s">
        <v>109</v>
      </c>
      <c r="I44" s="13" t="s">
        <v>128</v>
      </c>
      <c r="J44" s="13" t="s">
        <v>49</v>
      </c>
      <c r="M44" s="13">
        <v>0</v>
      </c>
    </row>
    <row r="45" spans="1:13" x14ac:dyDescent="0.25">
      <c r="A45" s="14">
        <v>1</v>
      </c>
      <c r="B45" s="13" t="s">
        <v>129</v>
      </c>
      <c r="C45" s="13" t="s">
        <v>1</v>
      </c>
      <c r="D45" s="13" t="s">
        <v>34</v>
      </c>
      <c r="E45" s="15">
        <v>45239</v>
      </c>
      <c r="F45" s="15">
        <v>45267</v>
      </c>
      <c r="G45" s="13" t="s">
        <v>23</v>
      </c>
      <c r="H45" s="13" t="s">
        <v>109</v>
      </c>
      <c r="I45" s="13" t="s">
        <v>130</v>
      </c>
      <c r="J45" s="13" t="s">
        <v>49</v>
      </c>
      <c r="M45" s="13">
        <v>0</v>
      </c>
    </row>
    <row r="46" spans="1:13" x14ac:dyDescent="0.25">
      <c r="A46" s="14">
        <v>1</v>
      </c>
      <c r="B46" s="13" t="s">
        <v>131</v>
      </c>
      <c r="C46" s="13" t="s">
        <v>1</v>
      </c>
      <c r="D46" s="13" t="s">
        <v>34</v>
      </c>
      <c r="E46" s="15">
        <v>45240</v>
      </c>
      <c r="F46" s="15">
        <v>45268</v>
      </c>
      <c r="G46" s="13" t="s">
        <v>23</v>
      </c>
      <c r="H46" s="13" t="s">
        <v>132</v>
      </c>
      <c r="I46" s="13" t="s">
        <v>133</v>
      </c>
      <c r="J46" s="13" t="s">
        <v>49</v>
      </c>
      <c r="M46" s="13">
        <v>0</v>
      </c>
    </row>
    <row r="47" spans="1:13" x14ac:dyDescent="0.25">
      <c r="A47" s="14">
        <v>1</v>
      </c>
      <c r="B47" s="13" t="s">
        <v>134</v>
      </c>
      <c r="C47" s="13" t="s">
        <v>1</v>
      </c>
      <c r="D47" s="13" t="s">
        <v>34</v>
      </c>
      <c r="E47" s="15">
        <v>45240</v>
      </c>
      <c r="F47" s="15">
        <v>45268</v>
      </c>
      <c r="G47" s="13" t="s">
        <v>23</v>
      </c>
      <c r="H47" s="13" t="s">
        <v>135</v>
      </c>
      <c r="I47" s="13" t="s">
        <v>136</v>
      </c>
      <c r="J47" s="13" t="s">
        <v>49</v>
      </c>
      <c r="M47" s="13">
        <v>0</v>
      </c>
    </row>
    <row r="48" spans="1:13" x14ac:dyDescent="0.25">
      <c r="A48" s="14">
        <v>1</v>
      </c>
      <c r="B48" s="13" t="s">
        <v>137</v>
      </c>
      <c r="C48" s="13" t="s">
        <v>1</v>
      </c>
      <c r="D48" s="13" t="s">
        <v>34</v>
      </c>
      <c r="E48" s="15">
        <v>45241</v>
      </c>
      <c r="F48" s="15">
        <v>45269</v>
      </c>
      <c r="G48" s="13" t="s">
        <v>23</v>
      </c>
      <c r="H48" s="13" t="s">
        <v>138</v>
      </c>
      <c r="I48" s="13" t="s">
        <v>139</v>
      </c>
      <c r="J48" s="13" t="s">
        <v>49</v>
      </c>
      <c r="M48" s="13">
        <v>0</v>
      </c>
    </row>
    <row r="49" spans="1:13" x14ac:dyDescent="0.25">
      <c r="A49" s="14">
        <v>1</v>
      </c>
      <c r="B49" s="13" t="s">
        <v>140</v>
      </c>
      <c r="C49" s="13" t="s">
        <v>1</v>
      </c>
      <c r="D49" s="13" t="s">
        <v>34</v>
      </c>
      <c r="E49" s="15">
        <v>45241</v>
      </c>
      <c r="F49" s="15">
        <v>45269</v>
      </c>
      <c r="G49" s="13" t="s">
        <v>23</v>
      </c>
      <c r="H49" s="13" t="s">
        <v>138</v>
      </c>
      <c r="I49" s="13" t="s">
        <v>141</v>
      </c>
      <c r="J49" s="13" t="s">
        <v>49</v>
      </c>
      <c r="M49" s="13">
        <v>0</v>
      </c>
    </row>
    <row r="50" spans="1:13" x14ac:dyDescent="0.25">
      <c r="A50" s="14">
        <v>1</v>
      </c>
      <c r="B50" s="13" t="s">
        <v>142</v>
      </c>
      <c r="C50" s="13" t="s">
        <v>1</v>
      </c>
      <c r="D50" s="13" t="s">
        <v>34</v>
      </c>
      <c r="E50" s="15">
        <v>45241</v>
      </c>
      <c r="F50" s="15">
        <v>45269</v>
      </c>
      <c r="G50" s="13" t="s">
        <v>23</v>
      </c>
      <c r="H50" s="13" t="s">
        <v>138</v>
      </c>
      <c r="I50" s="13" t="s">
        <v>143</v>
      </c>
      <c r="J50" s="13" t="s">
        <v>49</v>
      </c>
      <c r="M50" s="13">
        <v>0</v>
      </c>
    </row>
    <row r="51" spans="1:13" x14ac:dyDescent="0.25">
      <c r="A51" s="14">
        <v>1</v>
      </c>
      <c r="B51" s="13" t="s">
        <v>144</v>
      </c>
      <c r="C51" s="13" t="s">
        <v>1</v>
      </c>
      <c r="D51" s="13" t="s">
        <v>34</v>
      </c>
      <c r="E51" s="15">
        <v>45241</v>
      </c>
      <c r="F51" s="15">
        <v>45269</v>
      </c>
      <c r="G51" s="13" t="s">
        <v>23</v>
      </c>
      <c r="H51" s="13" t="s">
        <v>145</v>
      </c>
      <c r="I51" s="13" t="s">
        <v>146</v>
      </c>
      <c r="J51" s="13" t="s">
        <v>49</v>
      </c>
      <c r="M51" s="13">
        <v>0</v>
      </c>
    </row>
    <row r="52" spans="1:13" x14ac:dyDescent="0.25">
      <c r="A52" s="14">
        <v>1</v>
      </c>
      <c r="B52" s="13" t="s">
        <v>147</v>
      </c>
      <c r="C52" s="13" t="s">
        <v>1</v>
      </c>
      <c r="D52" s="13" t="s">
        <v>34</v>
      </c>
      <c r="E52" s="15">
        <v>45241</v>
      </c>
      <c r="F52" s="15">
        <v>45269</v>
      </c>
      <c r="G52" s="13" t="s">
        <v>23</v>
      </c>
      <c r="H52" s="13" t="s">
        <v>148</v>
      </c>
      <c r="I52" s="13" t="s">
        <v>149</v>
      </c>
      <c r="J52" s="13" t="s">
        <v>49</v>
      </c>
      <c r="M52" s="13">
        <v>0</v>
      </c>
    </row>
    <row r="53" spans="1:13" x14ac:dyDescent="0.25">
      <c r="A53" s="14">
        <v>1</v>
      </c>
      <c r="B53" s="13" t="s">
        <v>150</v>
      </c>
      <c r="C53" s="13" t="s">
        <v>1</v>
      </c>
      <c r="D53" s="13" t="s">
        <v>34</v>
      </c>
      <c r="E53" s="15">
        <v>45241</v>
      </c>
      <c r="F53" s="15">
        <v>45269</v>
      </c>
      <c r="G53" s="13" t="s">
        <v>23</v>
      </c>
      <c r="H53" s="13" t="s">
        <v>148</v>
      </c>
      <c r="I53" s="13" t="s">
        <v>151</v>
      </c>
      <c r="J53" s="13" t="s">
        <v>49</v>
      </c>
      <c r="M53" s="13">
        <v>0</v>
      </c>
    </row>
    <row r="54" spans="1:13" x14ac:dyDescent="0.25">
      <c r="A54" s="14">
        <v>1</v>
      </c>
      <c r="B54" s="13" t="s">
        <v>152</v>
      </c>
      <c r="C54" s="13" t="s">
        <v>1</v>
      </c>
      <c r="D54" s="13" t="s">
        <v>34</v>
      </c>
      <c r="E54" s="15">
        <v>45241</v>
      </c>
      <c r="F54" s="15">
        <v>45269</v>
      </c>
      <c r="G54" s="13" t="s">
        <v>23</v>
      </c>
      <c r="H54" s="13" t="s">
        <v>109</v>
      </c>
      <c r="I54" s="13" t="s">
        <v>153</v>
      </c>
      <c r="J54" s="13" t="s">
        <v>49</v>
      </c>
      <c r="M54" s="13">
        <v>0</v>
      </c>
    </row>
    <row r="55" spans="1:13" x14ac:dyDescent="0.25">
      <c r="A55" s="14">
        <v>1</v>
      </c>
      <c r="B55" s="13" t="s">
        <v>154</v>
      </c>
      <c r="C55" s="13" t="s">
        <v>1</v>
      </c>
      <c r="D55" s="13" t="s">
        <v>34</v>
      </c>
      <c r="E55" s="15">
        <v>45242</v>
      </c>
      <c r="F55" s="15">
        <v>45270</v>
      </c>
      <c r="G55" s="13" t="s">
        <v>23</v>
      </c>
      <c r="H55" s="13" t="s">
        <v>98</v>
      </c>
      <c r="I55" s="13" t="s">
        <v>155</v>
      </c>
      <c r="J55" s="13" t="s">
        <v>49</v>
      </c>
      <c r="M55" s="13">
        <v>0</v>
      </c>
    </row>
    <row r="56" spans="1:13" x14ac:dyDescent="0.25">
      <c r="A56" s="14">
        <v>1</v>
      </c>
      <c r="B56" s="13" t="s">
        <v>156</v>
      </c>
      <c r="C56" s="13" t="s">
        <v>1</v>
      </c>
      <c r="D56" s="13" t="s">
        <v>34</v>
      </c>
      <c r="E56" s="15">
        <v>45245</v>
      </c>
      <c r="F56" s="15">
        <v>45273</v>
      </c>
      <c r="G56" s="13" t="s">
        <v>23</v>
      </c>
      <c r="H56" s="13" t="s">
        <v>65</v>
      </c>
      <c r="I56" s="13" t="s">
        <v>157</v>
      </c>
      <c r="J56" s="13" t="s">
        <v>49</v>
      </c>
      <c r="M56" s="13">
        <v>0</v>
      </c>
    </row>
    <row r="57" spans="1:13" x14ac:dyDescent="0.25">
      <c r="A57" s="14">
        <v>1</v>
      </c>
      <c r="B57" s="13" t="s">
        <v>158</v>
      </c>
      <c r="C57" s="13" t="s">
        <v>1</v>
      </c>
      <c r="D57" s="13" t="s">
        <v>34</v>
      </c>
      <c r="E57" s="15">
        <v>45245</v>
      </c>
      <c r="F57" s="15">
        <v>45273</v>
      </c>
      <c r="G57" s="13" t="s">
        <v>23</v>
      </c>
      <c r="H57" s="13" t="s">
        <v>65</v>
      </c>
      <c r="I57" s="13" t="s">
        <v>159</v>
      </c>
      <c r="J57" s="13" t="s">
        <v>49</v>
      </c>
      <c r="M57" s="13">
        <v>0</v>
      </c>
    </row>
    <row r="58" spans="1:13" x14ac:dyDescent="0.25">
      <c r="A58" s="14">
        <v>1</v>
      </c>
      <c r="B58" s="13" t="s">
        <v>160</v>
      </c>
      <c r="C58" s="13" t="s">
        <v>1</v>
      </c>
      <c r="D58" s="13" t="s">
        <v>34</v>
      </c>
      <c r="E58" s="15">
        <v>45245</v>
      </c>
      <c r="F58" s="15">
        <v>45273</v>
      </c>
      <c r="G58" s="13" t="s">
        <v>23</v>
      </c>
      <c r="H58" s="13" t="s">
        <v>161</v>
      </c>
      <c r="I58" s="13" t="s">
        <v>162</v>
      </c>
      <c r="J58" s="13" t="s">
        <v>81</v>
      </c>
      <c r="M58" s="13">
        <v>0</v>
      </c>
    </row>
    <row r="59" spans="1:13" x14ac:dyDescent="0.25">
      <c r="A59" s="14">
        <v>1</v>
      </c>
      <c r="B59" s="13" t="s">
        <v>163</v>
      </c>
      <c r="C59" s="13" t="s">
        <v>1</v>
      </c>
      <c r="D59" s="13" t="s">
        <v>34</v>
      </c>
      <c r="E59" s="15">
        <v>45245</v>
      </c>
      <c r="F59" s="15">
        <v>45273</v>
      </c>
      <c r="G59" s="13" t="s">
        <v>23</v>
      </c>
      <c r="H59" s="13" t="s">
        <v>148</v>
      </c>
      <c r="I59" s="13" t="s">
        <v>164</v>
      </c>
      <c r="J59" s="13" t="s">
        <v>49</v>
      </c>
      <c r="M59" s="13">
        <v>0</v>
      </c>
    </row>
    <row r="60" spans="1:13" x14ac:dyDescent="0.25">
      <c r="A60" s="14">
        <v>1</v>
      </c>
      <c r="B60" s="13" t="s">
        <v>165</v>
      </c>
      <c r="C60" s="13" t="s">
        <v>1</v>
      </c>
      <c r="D60" s="13" t="s">
        <v>34</v>
      </c>
      <c r="E60" s="15">
        <v>45245</v>
      </c>
      <c r="F60" s="15">
        <v>45273</v>
      </c>
      <c r="G60" s="13" t="s">
        <v>23</v>
      </c>
      <c r="H60" s="13" t="s">
        <v>148</v>
      </c>
      <c r="I60" s="13" t="s">
        <v>166</v>
      </c>
      <c r="J60" s="13" t="s">
        <v>49</v>
      </c>
      <c r="M60" s="13">
        <v>0</v>
      </c>
    </row>
    <row r="61" spans="1:13" x14ac:dyDescent="0.25">
      <c r="A61" s="14">
        <v>1</v>
      </c>
      <c r="B61" s="13" t="s">
        <v>167</v>
      </c>
      <c r="C61" s="13" t="s">
        <v>1</v>
      </c>
      <c r="D61" s="13" t="s">
        <v>34</v>
      </c>
      <c r="E61" s="15">
        <v>45246</v>
      </c>
      <c r="F61" s="15">
        <v>45274</v>
      </c>
      <c r="G61" s="13" t="s">
        <v>23</v>
      </c>
      <c r="H61" s="13" t="s">
        <v>168</v>
      </c>
      <c r="I61" s="13" t="s">
        <v>169</v>
      </c>
      <c r="J61" s="13" t="s">
        <v>49</v>
      </c>
      <c r="M61" s="13">
        <v>0</v>
      </c>
    </row>
    <row r="62" spans="1:13" x14ac:dyDescent="0.25">
      <c r="A62" s="14">
        <v>1</v>
      </c>
      <c r="B62" s="13" t="s">
        <v>170</v>
      </c>
      <c r="C62" s="13" t="s">
        <v>1</v>
      </c>
      <c r="D62" s="13" t="s">
        <v>34</v>
      </c>
      <c r="E62" s="15">
        <v>45246</v>
      </c>
      <c r="F62" s="15">
        <v>45274</v>
      </c>
      <c r="G62" s="13" t="s">
        <v>23</v>
      </c>
      <c r="H62" s="13" t="s">
        <v>135</v>
      </c>
      <c r="I62" s="13" t="s">
        <v>171</v>
      </c>
      <c r="J62" s="13" t="s">
        <v>49</v>
      </c>
      <c r="M62" s="13">
        <v>0</v>
      </c>
    </row>
    <row r="63" spans="1:13" x14ac:dyDescent="0.25">
      <c r="A63" s="14">
        <v>1</v>
      </c>
      <c r="B63" s="13" t="s">
        <v>172</v>
      </c>
      <c r="C63" s="13" t="s">
        <v>1</v>
      </c>
      <c r="D63" s="13" t="s">
        <v>34</v>
      </c>
      <c r="E63" s="15">
        <v>45247</v>
      </c>
      <c r="F63" s="15">
        <v>45275</v>
      </c>
      <c r="G63" s="13" t="s">
        <v>23</v>
      </c>
      <c r="H63" s="13" t="s">
        <v>88</v>
      </c>
      <c r="I63" s="13" t="s">
        <v>173</v>
      </c>
      <c r="J63" s="13" t="s">
        <v>49</v>
      </c>
      <c r="M63" s="13">
        <v>0</v>
      </c>
    </row>
    <row r="64" spans="1:13" x14ac:dyDescent="0.25">
      <c r="A64" s="14">
        <v>1</v>
      </c>
      <c r="B64" s="13" t="s">
        <v>174</v>
      </c>
      <c r="C64" s="13" t="s">
        <v>1</v>
      </c>
      <c r="D64" s="13" t="s">
        <v>34</v>
      </c>
      <c r="E64" s="15">
        <v>45247</v>
      </c>
      <c r="F64" s="15">
        <v>45275</v>
      </c>
      <c r="G64" s="13" t="s">
        <v>23</v>
      </c>
      <c r="H64" s="13" t="s">
        <v>88</v>
      </c>
      <c r="I64" s="13" t="s">
        <v>175</v>
      </c>
      <c r="J64" s="13" t="s">
        <v>49</v>
      </c>
      <c r="M64" s="13">
        <v>0</v>
      </c>
    </row>
    <row r="65" spans="1:14" x14ac:dyDescent="0.25">
      <c r="A65" s="14">
        <v>1</v>
      </c>
      <c r="B65" s="13" t="s">
        <v>176</v>
      </c>
      <c r="C65" s="13" t="s">
        <v>1</v>
      </c>
      <c r="D65" s="13" t="s">
        <v>34</v>
      </c>
      <c r="E65" s="15">
        <v>45247</v>
      </c>
      <c r="F65" s="15">
        <v>45275</v>
      </c>
      <c r="G65" s="13" t="s">
        <v>23</v>
      </c>
      <c r="H65" s="13" t="s">
        <v>98</v>
      </c>
      <c r="I65" s="13" t="s">
        <v>177</v>
      </c>
      <c r="J65" s="13" t="s">
        <v>49</v>
      </c>
      <c r="M65" s="13">
        <v>0</v>
      </c>
    </row>
    <row r="66" spans="1:14" x14ac:dyDescent="0.25">
      <c r="A66" s="14">
        <v>1</v>
      </c>
      <c r="B66" s="13" t="s">
        <v>178</v>
      </c>
      <c r="C66" s="13" t="s">
        <v>1</v>
      </c>
      <c r="D66" s="13" t="s">
        <v>34</v>
      </c>
      <c r="E66" s="15">
        <v>45247</v>
      </c>
      <c r="F66" s="15">
        <v>45275</v>
      </c>
      <c r="G66" s="13" t="s">
        <v>23</v>
      </c>
      <c r="H66" s="13" t="s">
        <v>98</v>
      </c>
      <c r="I66" s="13" t="s">
        <v>179</v>
      </c>
      <c r="J66" s="13" t="s">
        <v>49</v>
      </c>
      <c r="M66" s="13">
        <v>0</v>
      </c>
    </row>
    <row r="67" spans="1:14" x14ac:dyDescent="0.25">
      <c r="A67" s="14">
        <v>1</v>
      </c>
      <c r="B67" s="13" t="s">
        <v>180</v>
      </c>
      <c r="C67" s="13" t="s">
        <v>1</v>
      </c>
      <c r="D67" s="13" t="s">
        <v>34</v>
      </c>
      <c r="E67" s="15">
        <v>45248</v>
      </c>
      <c r="F67" s="15">
        <v>45276</v>
      </c>
      <c r="G67" s="13" t="s">
        <v>23</v>
      </c>
      <c r="H67" s="13" t="s">
        <v>138</v>
      </c>
      <c r="I67" s="13" t="s">
        <v>181</v>
      </c>
      <c r="J67" s="13" t="s">
        <v>49</v>
      </c>
      <c r="M67" s="13">
        <v>0</v>
      </c>
    </row>
    <row r="68" spans="1:14" x14ac:dyDescent="0.25">
      <c r="A68" s="14">
        <v>1</v>
      </c>
      <c r="B68" s="13" t="s">
        <v>182</v>
      </c>
      <c r="C68" s="13" t="s">
        <v>1</v>
      </c>
      <c r="D68" s="13" t="s">
        <v>34</v>
      </c>
      <c r="E68" s="15">
        <v>45248</v>
      </c>
      <c r="F68" s="15">
        <v>45276</v>
      </c>
      <c r="G68" s="13" t="s">
        <v>23</v>
      </c>
      <c r="H68" s="13" t="s">
        <v>138</v>
      </c>
      <c r="I68" s="13" t="s">
        <v>183</v>
      </c>
      <c r="J68" s="13" t="s">
        <v>49</v>
      </c>
      <c r="M68" s="13">
        <v>0</v>
      </c>
    </row>
    <row r="69" spans="1:14" x14ac:dyDescent="0.25">
      <c r="A69" s="14">
        <v>1</v>
      </c>
      <c r="B69" s="13" t="s">
        <v>184</v>
      </c>
      <c r="C69" s="13" t="s">
        <v>1</v>
      </c>
      <c r="D69" s="13" t="s">
        <v>34</v>
      </c>
      <c r="E69" s="15">
        <v>45248</v>
      </c>
      <c r="F69" s="15">
        <v>45276</v>
      </c>
      <c r="G69" s="13" t="s">
        <v>23</v>
      </c>
      <c r="H69" s="13" t="s">
        <v>145</v>
      </c>
      <c r="I69" s="13" t="s">
        <v>185</v>
      </c>
      <c r="J69" s="13" t="s">
        <v>49</v>
      </c>
      <c r="M69" s="13">
        <v>0</v>
      </c>
    </row>
    <row r="70" spans="1:14" x14ac:dyDescent="0.25">
      <c r="A70" s="14">
        <v>1</v>
      </c>
      <c r="B70" s="13" t="s">
        <v>186</v>
      </c>
      <c r="C70" s="13" t="s">
        <v>1</v>
      </c>
      <c r="D70" s="13" t="s">
        <v>34</v>
      </c>
      <c r="E70" s="15">
        <v>45248</v>
      </c>
      <c r="F70" s="15">
        <v>45276</v>
      </c>
      <c r="G70" s="13" t="s">
        <v>23</v>
      </c>
      <c r="H70" s="13" t="s">
        <v>187</v>
      </c>
      <c r="I70" s="13" t="s">
        <v>188</v>
      </c>
      <c r="J70" s="13" t="s">
        <v>49</v>
      </c>
      <c r="M70" s="13">
        <v>0</v>
      </c>
    </row>
    <row r="71" spans="1:14" x14ac:dyDescent="0.25">
      <c r="A71" s="14">
        <v>1</v>
      </c>
      <c r="B71" s="13" t="s">
        <v>189</v>
      </c>
      <c r="C71" s="13" t="s">
        <v>1</v>
      </c>
      <c r="D71" s="13" t="s">
        <v>34</v>
      </c>
      <c r="E71" s="15">
        <v>45249</v>
      </c>
      <c r="F71" s="15">
        <v>45277</v>
      </c>
      <c r="G71" s="13" t="s">
        <v>23</v>
      </c>
      <c r="H71" s="13" t="s">
        <v>138</v>
      </c>
      <c r="I71" s="13" t="s">
        <v>190</v>
      </c>
      <c r="J71" s="13" t="s">
        <v>49</v>
      </c>
      <c r="M71" s="13">
        <v>0</v>
      </c>
    </row>
    <row r="72" spans="1:14" x14ac:dyDescent="0.25">
      <c r="A72" s="14">
        <v>1</v>
      </c>
      <c r="B72" s="13" t="s">
        <v>191</v>
      </c>
      <c r="C72" s="13" t="s">
        <v>1</v>
      </c>
      <c r="D72" s="13" t="s">
        <v>192</v>
      </c>
      <c r="E72" s="15">
        <v>44862</v>
      </c>
      <c r="F72" s="15">
        <v>44869</v>
      </c>
      <c r="G72" s="13" t="s">
        <v>23</v>
      </c>
      <c r="H72" s="13" t="s">
        <v>193</v>
      </c>
      <c r="I72" s="13" t="s">
        <v>25</v>
      </c>
      <c r="J72" s="13" t="s">
        <v>194</v>
      </c>
      <c r="K72" s="13" t="s">
        <v>195</v>
      </c>
    </row>
    <row r="73" spans="1:14" ht="24" x14ac:dyDescent="0.25">
      <c r="A73" s="14">
        <v>1</v>
      </c>
      <c r="B73" s="13" t="s">
        <v>196</v>
      </c>
      <c r="C73" s="13" t="s">
        <v>1</v>
      </c>
      <c r="D73" s="13" t="s">
        <v>192</v>
      </c>
      <c r="E73" s="15">
        <v>44866</v>
      </c>
      <c r="F73" s="15">
        <v>44869</v>
      </c>
      <c r="G73" s="13" t="s">
        <v>23</v>
      </c>
      <c r="H73" s="13" t="s">
        <v>197</v>
      </c>
      <c r="I73" s="13" t="s">
        <v>80</v>
      </c>
      <c r="J73" s="13" t="s">
        <v>198</v>
      </c>
      <c r="K73" s="13" t="s">
        <v>195</v>
      </c>
      <c r="L73" s="13" t="s">
        <v>199</v>
      </c>
      <c r="N73" s="12" t="s">
        <v>200</v>
      </c>
    </row>
    <row r="74" spans="1:14" x14ac:dyDescent="0.25">
      <c r="A74" s="14">
        <v>1</v>
      </c>
      <c r="B74" s="13" t="s">
        <v>201</v>
      </c>
      <c r="C74" s="13" t="s">
        <v>1</v>
      </c>
      <c r="D74" s="13" t="s">
        <v>192</v>
      </c>
      <c r="E74" s="15">
        <v>45180</v>
      </c>
      <c r="F74" s="15">
        <v>45180</v>
      </c>
      <c r="G74" s="13" t="s">
        <v>23</v>
      </c>
      <c r="H74" s="13" t="s">
        <v>202</v>
      </c>
      <c r="I74" s="13" t="s">
        <v>29</v>
      </c>
      <c r="J74" s="13" t="s">
        <v>203</v>
      </c>
      <c r="K74" s="13" t="s">
        <v>31</v>
      </c>
    </row>
    <row r="75" spans="1:14" x14ac:dyDescent="0.25">
      <c r="A75" s="14">
        <v>1</v>
      </c>
      <c r="B75" s="13" t="s">
        <v>204</v>
      </c>
      <c r="C75" s="13" t="s">
        <v>1</v>
      </c>
      <c r="D75" s="13" t="s">
        <v>192</v>
      </c>
      <c r="E75" s="15">
        <v>45191</v>
      </c>
      <c r="F75" s="15">
        <v>45191</v>
      </c>
      <c r="G75" s="13" t="s">
        <v>23</v>
      </c>
      <c r="H75" s="13" t="s">
        <v>205</v>
      </c>
      <c r="I75" s="13" t="s">
        <v>25</v>
      </c>
      <c r="J75" s="13" t="s">
        <v>206</v>
      </c>
      <c r="K75" s="13" t="s">
        <v>31</v>
      </c>
    </row>
    <row r="76" spans="1:14" x14ac:dyDescent="0.25">
      <c r="A76" s="14">
        <v>1</v>
      </c>
      <c r="B76" s="13" t="s">
        <v>207</v>
      </c>
      <c r="C76" s="13" t="s">
        <v>1</v>
      </c>
      <c r="D76" s="13" t="s">
        <v>192</v>
      </c>
      <c r="E76" s="15">
        <v>45191</v>
      </c>
      <c r="F76" s="15">
        <v>45191</v>
      </c>
      <c r="G76" s="13" t="s">
        <v>23</v>
      </c>
      <c r="H76" s="13" t="s">
        <v>208</v>
      </c>
      <c r="I76" s="13" t="s">
        <v>80</v>
      </c>
      <c r="J76" s="13" t="s">
        <v>209</v>
      </c>
      <c r="K76" s="13" t="s">
        <v>31</v>
      </c>
    </row>
    <row r="77" spans="1:14" x14ac:dyDescent="0.25">
      <c r="A77" s="14">
        <v>1</v>
      </c>
      <c r="B77" s="13" t="s">
        <v>210</v>
      </c>
      <c r="C77" s="13" t="s">
        <v>1</v>
      </c>
      <c r="D77" s="13" t="s">
        <v>192</v>
      </c>
      <c r="E77" s="15">
        <v>45239</v>
      </c>
      <c r="F77" s="15">
        <v>45239</v>
      </c>
      <c r="G77" s="13" t="s">
        <v>23</v>
      </c>
      <c r="H77" s="13" t="s">
        <v>211</v>
      </c>
      <c r="I77" s="13" t="s">
        <v>151</v>
      </c>
      <c r="K77" s="13" t="s">
        <v>212</v>
      </c>
    </row>
    <row r="78" spans="1:14" x14ac:dyDescent="0.25">
      <c r="A78" s="14">
        <v>1</v>
      </c>
      <c r="B78" s="13" t="s">
        <v>213</v>
      </c>
      <c r="C78" s="13" t="s">
        <v>1</v>
      </c>
      <c r="D78" s="13" t="s">
        <v>192</v>
      </c>
      <c r="E78" s="15">
        <v>45243</v>
      </c>
      <c r="F78" s="15">
        <v>45244</v>
      </c>
      <c r="G78" s="13" t="s">
        <v>23</v>
      </c>
      <c r="H78" s="13" t="s">
        <v>214</v>
      </c>
      <c r="I78" s="13" t="s">
        <v>80</v>
      </c>
      <c r="J78" s="13" t="s">
        <v>215</v>
      </c>
      <c r="K78" s="13" t="s">
        <v>31</v>
      </c>
    </row>
    <row r="79" spans="1:14" x14ac:dyDescent="0.25">
      <c r="A79" s="14">
        <v>1</v>
      </c>
      <c r="B79" s="13" t="s">
        <v>216</v>
      </c>
      <c r="C79" s="13" t="s">
        <v>1</v>
      </c>
      <c r="D79" s="13" t="s">
        <v>192</v>
      </c>
      <c r="E79" s="15">
        <v>45244</v>
      </c>
      <c r="F79" s="15">
        <v>45258</v>
      </c>
      <c r="G79" s="13" t="s">
        <v>23</v>
      </c>
      <c r="H79" s="13" t="s">
        <v>217</v>
      </c>
      <c r="I79" s="13" t="s">
        <v>112</v>
      </c>
      <c r="J79" s="13" t="s">
        <v>218</v>
      </c>
      <c r="K79" s="13" t="s">
        <v>219</v>
      </c>
    </row>
    <row r="80" spans="1:14" x14ac:dyDescent="0.25">
      <c r="A80" s="14">
        <v>1</v>
      </c>
      <c r="B80" s="13" t="s">
        <v>220</v>
      </c>
      <c r="C80" s="13" t="s">
        <v>1</v>
      </c>
      <c r="D80" s="13" t="s">
        <v>221</v>
      </c>
      <c r="E80" s="15">
        <v>45243</v>
      </c>
      <c r="F80" s="15">
        <v>45261</v>
      </c>
      <c r="G80" s="13" t="s">
        <v>23</v>
      </c>
      <c r="H80" s="13" t="s">
        <v>222</v>
      </c>
      <c r="I80" s="13" t="s">
        <v>223</v>
      </c>
      <c r="J80" s="13" t="s">
        <v>224</v>
      </c>
      <c r="K80" s="13" t="s">
        <v>225</v>
      </c>
    </row>
    <row r="81" spans="1:13" x14ac:dyDescent="0.25">
      <c r="A81" s="14">
        <v>1</v>
      </c>
      <c r="B81" s="13" t="s">
        <v>226</v>
      </c>
      <c r="C81" s="13" t="s">
        <v>1</v>
      </c>
      <c r="D81" s="13" t="s">
        <v>221</v>
      </c>
      <c r="E81" s="15">
        <v>45243</v>
      </c>
      <c r="F81" s="15">
        <v>45261</v>
      </c>
      <c r="G81" s="13" t="s">
        <v>23</v>
      </c>
      <c r="H81" s="13" t="s">
        <v>227</v>
      </c>
      <c r="I81" s="13" t="s">
        <v>228</v>
      </c>
      <c r="J81" s="13" t="s">
        <v>224</v>
      </c>
      <c r="K81" s="13" t="s">
        <v>225</v>
      </c>
    </row>
    <row r="82" spans="1:13" x14ac:dyDescent="0.25">
      <c r="A82" s="14">
        <v>1</v>
      </c>
      <c r="B82" s="13" t="s">
        <v>229</v>
      </c>
      <c r="C82" s="13" t="s">
        <v>1</v>
      </c>
      <c r="D82" s="13" t="s">
        <v>221</v>
      </c>
      <c r="E82" s="15">
        <v>45243</v>
      </c>
      <c r="F82" s="15">
        <v>45261</v>
      </c>
      <c r="G82" s="13" t="s">
        <v>23</v>
      </c>
      <c r="H82" s="13" t="s">
        <v>230</v>
      </c>
      <c r="I82" s="13" t="s">
        <v>231</v>
      </c>
      <c r="J82" s="13" t="s">
        <v>224</v>
      </c>
      <c r="K82" s="13" t="s">
        <v>225</v>
      </c>
    </row>
    <row r="83" spans="1:13" x14ac:dyDescent="0.25">
      <c r="A83" s="14">
        <v>1</v>
      </c>
      <c r="B83" s="13" t="s">
        <v>232</v>
      </c>
      <c r="C83" s="13" t="s">
        <v>1</v>
      </c>
      <c r="D83" s="13" t="s">
        <v>221</v>
      </c>
      <c r="E83" s="15">
        <v>45243</v>
      </c>
      <c r="F83" s="15">
        <v>45261</v>
      </c>
      <c r="G83" s="13" t="s">
        <v>23</v>
      </c>
      <c r="H83" s="13" t="s">
        <v>233</v>
      </c>
      <c r="I83" s="13" t="s">
        <v>234</v>
      </c>
      <c r="J83" s="13" t="s">
        <v>224</v>
      </c>
      <c r="K83" s="13" t="s">
        <v>225</v>
      </c>
    </row>
    <row r="84" spans="1:13" x14ac:dyDescent="0.25">
      <c r="A84" s="14">
        <v>1</v>
      </c>
      <c r="B84" s="13" t="s">
        <v>235</v>
      </c>
      <c r="C84" s="13" t="s">
        <v>1</v>
      </c>
      <c r="D84" s="13" t="s">
        <v>221</v>
      </c>
      <c r="E84" s="15">
        <v>45243</v>
      </c>
      <c r="F84" s="15">
        <v>45261</v>
      </c>
      <c r="G84" s="13" t="s">
        <v>23</v>
      </c>
      <c r="H84" s="13" t="s">
        <v>236</v>
      </c>
      <c r="I84" s="13" t="s">
        <v>237</v>
      </c>
      <c r="J84" s="13" t="s">
        <v>224</v>
      </c>
      <c r="K84" s="13" t="s">
        <v>225</v>
      </c>
    </row>
    <row r="85" spans="1:13" x14ac:dyDescent="0.25">
      <c r="A85" s="14">
        <v>1</v>
      </c>
      <c r="B85" s="13" t="s">
        <v>238</v>
      </c>
      <c r="C85" s="13" t="s">
        <v>1</v>
      </c>
      <c r="D85" s="13" t="s">
        <v>221</v>
      </c>
      <c r="E85" s="15">
        <v>45243</v>
      </c>
      <c r="F85" s="15">
        <v>45261</v>
      </c>
      <c r="G85" s="13" t="s">
        <v>23</v>
      </c>
      <c r="H85" s="13" t="s">
        <v>239</v>
      </c>
      <c r="I85" s="13" t="s">
        <v>240</v>
      </c>
      <c r="J85" s="13" t="s">
        <v>224</v>
      </c>
      <c r="K85" s="13" t="s">
        <v>225</v>
      </c>
    </row>
    <row r="86" spans="1:13" x14ac:dyDescent="0.25">
      <c r="A86" s="14">
        <v>1</v>
      </c>
      <c r="B86" s="13" t="s">
        <v>241</v>
      </c>
      <c r="C86" s="13" t="s">
        <v>1</v>
      </c>
      <c r="D86" s="13" t="s">
        <v>221</v>
      </c>
      <c r="E86" s="15">
        <v>45243</v>
      </c>
      <c r="F86" s="15">
        <v>45261</v>
      </c>
      <c r="G86" s="13" t="s">
        <v>23</v>
      </c>
      <c r="H86" s="13" t="s">
        <v>242</v>
      </c>
      <c r="I86" s="13" t="s">
        <v>243</v>
      </c>
      <c r="J86" s="13" t="s">
        <v>224</v>
      </c>
      <c r="K86" s="13" t="s">
        <v>225</v>
      </c>
    </row>
    <row r="87" spans="1:13" x14ac:dyDescent="0.25">
      <c r="A87" s="14">
        <v>1</v>
      </c>
      <c r="B87" s="13" t="s">
        <v>244</v>
      </c>
      <c r="C87" s="13" t="s">
        <v>1</v>
      </c>
      <c r="D87" s="13" t="s">
        <v>221</v>
      </c>
      <c r="E87" s="15">
        <v>45243</v>
      </c>
      <c r="F87" s="15">
        <v>45261</v>
      </c>
      <c r="G87" s="13" t="s">
        <v>23</v>
      </c>
      <c r="H87" s="13" t="s">
        <v>245</v>
      </c>
      <c r="I87" s="13" t="s">
        <v>246</v>
      </c>
      <c r="J87" s="13" t="s">
        <v>224</v>
      </c>
      <c r="K87" s="13" t="s">
        <v>225</v>
      </c>
    </row>
    <row r="88" spans="1:13" x14ac:dyDescent="0.25">
      <c r="A88" s="14">
        <v>1</v>
      </c>
      <c r="B88" s="13" t="s">
        <v>247</v>
      </c>
      <c r="C88" s="13" t="s">
        <v>5</v>
      </c>
      <c r="D88" s="13" t="s">
        <v>22</v>
      </c>
      <c r="E88" s="15">
        <v>45187</v>
      </c>
      <c r="F88" s="15">
        <v>45187</v>
      </c>
      <c r="G88" s="13" t="s">
        <v>23</v>
      </c>
      <c r="H88" s="13" t="s">
        <v>248</v>
      </c>
      <c r="I88" s="13" t="s">
        <v>249</v>
      </c>
      <c r="J88" s="13" t="s">
        <v>250</v>
      </c>
      <c r="K88" s="13" t="s">
        <v>251</v>
      </c>
    </row>
    <row r="89" spans="1:13" x14ac:dyDescent="0.25">
      <c r="A89" s="14">
        <v>1</v>
      </c>
      <c r="B89" s="13" t="s">
        <v>252</v>
      </c>
      <c r="C89" s="13" t="s">
        <v>5</v>
      </c>
      <c r="D89" s="13" t="s">
        <v>34</v>
      </c>
      <c r="E89" s="15">
        <v>45213</v>
      </c>
      <c r="F89" s="15">
        <v>45241</v>
      </c>
      <c r="G89" s="13" t="s">
        <v>23</v>
      </c>
      <c r="H89" s="13" t="s">
        <v>253</v>
      </c>
      <c r="I89" s="13" t="s">
        <v>254</v>
      </c>
      <c r="J89" s="13" t="s">
        <v>49</v>
      </c>
      <c r="M89" s="13">
        <v>0</v>
      </c>
    </row>
    <row r="90" spans="1:13" x14ac:dyDescent="0.25">
      <c r="A90" s="14">
        <v>1</v>
      </c>
      <c r="B90" s="13" t="s">
        <v>255</v>
      </c>
      <c r="C90" s="13" t="s">
        <v>5</v>
      </c>
      <c r="D90" s="13" t="s">
        <v>34</v>
      </c>
      <c r="E90" s="15">
        <v>45214</v>
      </c>
      <c r="F90" s="15">
        <v>45242</v>
      </c>
      <c r="G90" s="13" t="s">
        <v>23</v>
      </c>
      <c r="H90" s="13" t="s">
        <v>138</v>
      </c>
      <c r="I90" s="13" t="s">
        <v>256</v>
      </c>
      <c r="J90" s="13" t="s">
        <v>49</v>
      </c>
      <c r="M90" s="13">
        <v>0</v>
      </c>
    </row>
    <row r="91" spans="1:13" x14ac:dyDescent="0.25">
      <c r="A91" s="14">
        <v>1</v>
      </c>
      <c r="B91" s="13" t="s">
        <v>257</v>
      </c>
      <c r="C91" s="13" t="s">
        <v>5</v>
      </c>
      <c r="D91" s="13" t="s">
        <v>34</v>
      </c>
      <c r="E91" s="15">
        <v>45218</v>
      </c>
      <c r="F91" s="15">
        <v>45246</v>
      </c>
      <c r="G91" s="13" t="s">
        <v>23</v>
      </c>
      <c r="H91" s="13" t="s">
        <v>83</v>
      </c>
      <c r="I91" s="13" t="s">
        <v>258</v>
      </c>
      <c r="J91" s="13" t="s">
        <v>81</v>
      </c>
      <c r="M91" s="13">
        <v>0</v>
      </c>
    </row>
    <row r="92" spans="1:13" x14ac:dyDescent="0.25">
      <c r="A92" s="14">
        <v>1</v>
      </c>
      <c r="B92" s="13" t="s">
        <v>259</v>
      </c>
      <c r="C92" s="13" t="s">
        <v>5</v>
      </c>
      <c r="D92" s="13" t="s">
        <v>34</v>
      </c>
      <c r="E92" s="15">
        <v>45219</v>
      </c>
      <c r="F92" s="15">
        <v>45247</v>
      </c>
      <c r="G92" s="13" t="s">
        <v>23</v>
      </c>
      <c r="H92" s="13" t="s">
        <v>260</v>
      </c>
      <c r="I92" s="13" t="s">
        <v>261</v>
      </c>
      <c r="J92" s="13" t="s">
        <v>81</v>
      </c>
      <c r="M92" s="13">
        <v>0</v>
      </c>
    </row>
    <row r="93" spans="1:13" x14ac:dyDescent="0.25">
      <c r="A93" s="14">
        <v>1</v>
      </c>
      <c r="B93" s="13" t="s">
        <v>262</v>
      </c>
      <c r="C93" s="13" t="s">
        <v>5</v>
      </c>
      <c r="D93" s="13" t="s">
        <v>34</v>
      </c>
      <c r="E93" s="15">
        <v>45219</v>
      </c>
      <c r="F93" s="15">
        <v>45247</v>
      </c>
      <c r="G93" s="13" t="s">
        <v>23</v>
      </c>
      <c r="H93" s="13" t="s">
        <v>83</v>
      </c>
      <c r="I93" s="13" t="s">
        <v>263</v>
      </c>
      <c r="J93" s="13" t="s">
        <v>81</v>
      </c>
      <c r="M93" s="13">
        <v>0</v>
      </c>
    </row>
    <row r="94" spans="1:13" x14ac:dyDescent="0.25">
      <c r="A94" s="14">
        <v>1</v>
      </c>
      <c r="B94" s="13" t="s">
        <v>264</v>
      </c>
      <c r="C94" s="13" t="s">
        <v>5</v>
      </c>
      <c r="D94" s="13" t="s">
        <v>34</v>
      </c>
      <c r="E94" s="15">
        <v>45220</v>
      </c>
      <c r="F94" s="15">
        <v>45248</v>
      </c>
      <c r="G94" s="13" t="s">
        <v>23</v>
      </c>
      <c r="H94" s="13" t="s">
        <v>138</v>
      </c>
      <c r="I94" s="13" t="s">
        <v>265</v>
      </c>
      <c r="J94" s="13" t="s">
        <v>49</v>
      </c>
      <c r="M94" s="13">
        <v>0</v>
      </c>
    </row>
    <row r="95" spans="1:13" x14ac:dyDescent="0.25">
      <c r="A95" s="14">
        <v>1</v>
      </c>
      <c r="B95" s="13" t="s">
        <v>266</v>
      </c>
      <c r="C95" s="13" t="s">
        <v>5</v>
      </c>
      <c r="D95" s="13" t="s">
        <v>34</v>
      </c>
      <c r="E95" s="15">
        <v>45220</v>
      </c>
      <c r="F95" s="15">
        <v>45248</v>
      </c>
      <c r="G95" s="13" t="s">
        <v>23</v>
      </c>
      <c r="H95" s="13" t="s">
        <v>267</v>
      </c>
      <c r="I95" s="13" t="s">
        <v>268</v>
      </c>
      <c r="J95" s="13" t="s">
        <v>49</v>
      </c>
      <c r="M95" s="13">
        <v>0</v>
      </c>
    </row>
    <row r="96" spans="1:13" x14ac:dyDescent="0.25">
      <c r="A96" s="14">
        <v>1</v>
      </c>
      <c r="B96" s="13" t="s">
        <v>269</v>
      </c>
      <c r="C96" s="13" t="s">
        <v>5</v>
      </c>
      <c r="D96" s="13" t="s">
        <v>34</v>
      </c>
      <c r="E96" s="15">
        <v>45220</v>
      </c>
      <c r="F96" s="15">
        <v>45248</v>
      </c>
      <c r="G96" s="13" t="s">
        <v>23</v>
      </c>
      <c r="H96" s="13" t="s">
        <v>267</v>
      </c>
      <c r="I96" s="13" t="s">
        <v>270</v>
      </c>
      <c r="J96" s="13" t="s">
        <v>49</v>
      </c>
      <c r="M96" s="13">
        <v>0</v>
      </c>
    </row>
    <row r="97" spans="1:13" x14ac:dyDescent="0.25">
      <c r="A97" s="14">
        <v>1</v>
      </c>
      <c r="B97" s="13" t="s">
        <v>271</v>
      </c>
      <c r="C97" s="13" t="s">
        <v>5</v>
      </c>
      <c r="D97" s="13" t="s">
        <v>34</v>
      </c>
      <c r="E97" s="15">
        <v>45220</v>
      </c>
      <c r="F97" s="15">
        <v>45248</v>
      </c>
      <c r="G97" s="13" t="s">
        <v>23</v>
      </c>
      <c r="H97" s="13" t="s">
        <v>267</v>
      </c>
      <c r="I97" s="13" t="s">
        <v>272</v>
      </c>
      <c r="J97" s="13" t="s">
        <v>49</v>
      </c>
      <c r="M97" s="13">
        <v>0</v>
      </c>
    </row>
    <row r="98" spans="1:13" x14ac:dyDescent="0.25">
      <c r="A98" s="14">
        <v>1</v>
      </c>
      <c r="B98" s="13" t="s">
        <v>273</v>
      </c>
      <c r="C98" s="13" t="s">
        <v>5</v>
      </c>
      <c r="D98" s="13" t="s">
        <v>34</v>
      </c>
      <c r="E98" s="15">
        <v>45220</v>
      </c>
      <c r="F98" s="15">
        <v>45248</v>
      </c>
      <c r="G98" s="13" t="s">
        <v>23</v>
      </c>
      <c r="H98" s="13" t="s">
        <v>267</v>
      </c>
      <c r="I98" s="13" t="s">
        <v>274</v>
      </c>
      <c r="J98" s="13" t="s">
        <v>49</v>
      </c>
      <c r="M98" s="13">
        <v>0</v>
      </c>
    </row>
    <row r="99" spans="1:13" x14ac:dyDescent="0.25">
      <c r="A99" s="14">
        <v>1</v>
      </c>
      <c r="B99" s="13" t="s">
        <v>275</v>
      </c>
      <c r="C99" s="13" t="s">
        <v>5</v>
      </c>
      <c r="D99" s="13" t="s">
        <v>34</v>
      </c>
      <c r="E99" s="15">
        <v>45220</v>
      </c>
      <c r="F99" s="15">
        <v>45248</v>
      </c>
      <c r="G99" s="13" t="s">
        <v>23</v>
      </c>
      <c r="H99" s="13" t="s">
        <v>98</v>
      </c>
      <c r="I99" s="13" t="s">
        <v>276</v>
      </c>
      <c r="J99" s="13" t="s">
        <v>49</v>
      </c>
      <c r="M99" s="13">
        <v>0</v>
      </c>
    </row>
    <row r="100" spans="1:13" x14ac:dyDescent="0.25">
      <c r="A100" s="14">
        <v>1</v>
      </c>
      <c r="B100" s="13" t="s">
        <v>277</v>
      </c>
      <c r="C100" s="13" t="s">
        <v>5</v>
      </c>
      <c r="D100" s="13" t="s">
        <v>34</v>
      </c>
      <c r="E100" s="15">
        <v>45227</v>
      </c>
      <c r="F100" s="15">
        <v>45248</v>
      </c>
      <c r="G100" s="13" t="s">
        <v>23</v>
      </c>
      <c r="H100" s="13" t="s">
        <v>278</v>
      </c>
      <c r="I100" s="13" t="s">
        <v>279</v>
      </c>
      <c r="J100" s="13" t="s">
        <v>280</v>
      </c>
      <c r="M100" s="13">
        <v>0</v>
      </c>
    </row>
    <row r="101" spans="1:13" x14ac:dyDescent="0.25">
      <c r="A101" s="14">
        <v>1</v>
      </c>
      <c r="B101" s="13" t="s">
        <v>281</v>
      </c>
      <c r="C101" s="13" t="s">
        <v>5</v>
      </c>
      <c r="D101" s="13" t="s">
        <v>34</v>
      </c>
      <c r="E101" s="15">
        <v>45223</v>
      </c>
      <c r="F101" s="15">
        <v>45251</v>
      </c>
      <c r="G101" s="13" t="s">
        <v>23</v>
      </c>
      <c r="H101" s="13" t="s">
        <v>93</v>
      </c>
      <c r="I101" s="13" t="s">
        <v>282</v>
      </c>
      <c r="J101" s="13" t="s">
        <v>49</v>
      </c>
      <c r="M101" s="13">
        <v>0</v>
      </c>
    </row>
    <row r="102" spans="1:13" x14ac:dyDescent="0.25">
      <c r="A102" s="14">
        <v>1</v>
      </c>
      <c r="B102" s="13" t="s">
        <v>283</v>
      </c>
      <c r="C102" s="13" t="s">
        <v>5</v>
      </c>
      <c r="D102" s="13" t="s">
        <v>34</v>
      </c>
      <c r="E102" s="15">
        <v>45223</v>
      </c>
      <c r="F102" s="15">
        <v>45251</v>
      </c>
      <c r="G102" s="13" t="s">
        <v>23</v>
      </c>
      <c r="H102" s="13" t="s">
        <v>98</v>
      </c>
      <c r="I102" s="13" t="s">
        <v>284</v>
      </c>
      <c r="J102" s="13" t="s">
        <v>49</v>
      </c>
      <c r="M102" s="13">
        <v>0</v>
      </c>
    </row>
    <row r="103" spans="1:13" x14ac:dyDescent="0.25">
      <c r="A103" s="14">
        <v>1</v>
      </c>
      <c r="B103" s="13" t="s">
        <v>285</v>
      </c>
      <c r="C103" s="13" t="s">
        <v>5</v>
      </c>
      <c r="D103" s="13" t="s">
        <v>34</v>
      </c>
      <c r="E103" s="15">
        <v>45225</v>
      </c>
      <c r="F103" s="15">
        <v>45253</v>
      </c>
      <c r="G103" s="13" t="s">
        <v>23</v>
      </c>
      <c r="H103" s="13" t="s">
        <v>83</v>
      </c>
      <c r="I103" s="13" t="s">
        <v>286</v>
      </c>
      <c r="J103" s="13" t="s">
        <v>81</v>
      </c>
      <c r="M103" s="13">
        <v>0</v>
      </c>
    </row>
    <row r="104" spans="1:13" x14ac:dyDescent="0.25">
      <c r="A104" s="14">
        <v>1</v>
      </c>
      <c r="B104" s="13" t="s">
        <v>287</v>
      </c>
      <c r="C104" s="13" t="s">
        <v>5</v>
      </c>
      <c r="D104" s="13" t="s">
        <v>34</v>
      </c>
      <c r="E104" s="15">
        <v>45225</v>
      </c>
      <c r="F104" s="15">
        <v>45253</v>
      </c>
      <c r="G104" s="13" t="s">
        <v>23</v>
      </c>
      <c r="H104" s="13" t="s">
        <v>47</v>
      </c>
      <c r="I104" s="13" t="s">
        <v>288</v>
      </c>
      <c r="J104" s="13" t="s">
        <v>49</v>
      </c>
      <c r="M104" s="13">
        <v>0</v>
      </c>
    </row>
    <row r="105" spans="1:13" x14ac:dyDescent="0.25">
      <c r="A105" s="14">
        <v>1</v>
      </c>
      <c r="B105" s="13" t="s">
        <v>289</v>
      </c>
      <c r="C105" s="13" t="s">
        <v>5</v>
      </c>
      <c r="D105" s="13" t="s">
        <v>34</v>
      </c>
      <c r="E105" s="15">
        <v>45225</v>
      </c>
      <c r="F105" s="15">
        <v>45253</v>
      </c>
      <c r="G105" s="13" t="s">
        <v>23</v>
      </c>
      <c r="H105" s="13" t="s">
        <v>98</v>
      </c>
      <c r="I105" s="13" t="s">
        <v>290</v>
      </c>
      <c r="J105" s="13" t="s">
        <v>49</v>
      </c>
      <c r="M105" s="13">
        <v>0</v>
      </c>
    </row>
    <row r="106" spans="1:13" x14ac:dyDescent="0.25">
      <c r="A106" s="14">
        <v>1</v>
      </c>
      <c r="B106" s="13" t="s">
        <v>291</v>
      </c>
      <c r="C106" s="13" t="s">
        <v>5</v>
      </c>
      <c r="D106" s="13" t="s">
        <v>34</v>
      </c>
      <c r="E106" s="15">
        <v>45225</v>
      </c>
      <c r="F106" s="15">
        <v>45253</v>
      </c>
      <c r="G106" s="13" t="s">
        <v>23</v>
      </c>
      <c r="H106" s="13" t="s">
        <v>98</v>
      </c>
      <c r="I106" s="13" t="s">
        <v>292</v>
      </c>
      <c r="J106" s="13" t="s">
        <v>49</v>
      </c>
      <c r="M106" s="13">
        <v>0</v>
      </c>
    </row>
    <row r="107" spans="1:13" x14ac:dyDescent="0.25">
      <c r="A107" s="14">
        <v>1</v>
      </c>
      <c r="B107" s="13" t="s">
        <v>293</v>
      </c>
      <c r="C107" s="13" t="s">
        <v>5</v>
      </c>
      <c r="D107" s="13" t="s">
        <v>34</v>
      </c>
      <c r="E107" s="15">
        <v>45226</v>
      </c>
      <c r="F107" s="15">
        <v>45254</v>
      </c>
      <c r="G107" s="13" t="s">
        <v>23</v>
      </c>
      <c r="H107" s="13" t="s">
        <v>47</v>
      </c>
      <c r="I107" s="13" t="s">
        <v>294</v>
      </c>
      <c r="J107" s="13" t="s">
        <v>49</v>
      </c>
      <c r="M107" s="13">
        <v>0</v>
      </c>
    </row>
    <row r="108" spans="1:13" x14ac:dyDescent="0.25">
      <c r="A108" s="14">
        <v>1</v>
      </c>
      <c r="B108" s="13" t="s">
        <v>295</v>
      </c>
      <c r="C108" s="13" t="s">
        <v>5</v>
      </c>
      <c r="D108" s="13" t="s">
        <v>34</v>
      </c>
      <c r="E108" s="15">
        <v>45226</v>
      </c>
      <c r="F108" s="15">
        <v>45254</v>
      </c>
      <c r="G108" s="13" t="s">
        <v>23</v>
      </c>
      <c r="H108" s="13" t="s">
        <v>296</v>
      </c>
      <c r="I108" s="13" t="s">
        <v>297</v>
      </c>
      <c r="J108" s="13" t="s">
        <v>81</v>
      </c>
      <c r="M108" s="13">
        <v>0</v>
      </c>
    </row>
    <row r="109" spans="1:13" x14ac:dyDescent="0.25">
      <c r="A109" s="14">
        <v>1</v>
      </c>
      <c r="B109" s="13" t="s">
        <v>298</v>
      </c>
      <c r="C109" s="13" t="s">
        <v>5</v>
      </c>
      <c r="D109" s="13" t="s">
        <v>34</v>
      </c>
      <c r="E109" s="15">
        <v>45227</v>
      </c>
      <c r="F109" s="15">
        <v>45255</v>
      </c>
      <c r="G109" s="13" t="s">
        <v>23</v>
      </c>
      <c r="H109" s="13" t="s">
        <v>47</v>
      </c>
      <c r="I109" s="13" t="s">
        <v>299</v>
      </c>
      <c r="J109" s="13" t="s">
        <v>49</v>
      </c>
      <c r="M109" s="13">
        <v>0</v>
      </c>
    </row>
    <row r="110" spans="1:13" x14ac:dyDescent="0.25">
      <c r="A110" s="14">
        <v>1</v>
      </c>
      <c r="B110" s="13" t="s">
        <v>300</v>
      </c>
      <c r="C110" s="13" t="s">
        <v>5</v>
      </c>
      <c r="D110" s="13" t="s">
        <v>34</v>
      </c>
      <c r="E110" s="15">
        <v>45227</v>
      </c>
      <c r="F110" s="15">
        <v>45255</v>
      </c>
      <c r="G110" s="13" t="s">
        <v>23</v>
      </c>
      <c r="H110" s="13" t="s">
        <v>47</v>
      </c>
      <c r="I110" s="13" t="s">
        <v>301</v>
      </c>
      <c r="J110" s="13" t="s">
        <v>49</v>
      </c>
      <c r="M110" s="13">
        <v>0</v>
      </c>
    </row>
    <row r="111" spans="1:13" x14ac:dyDescent="0.25">
      <c r="A111" s="14">
        <v>1</v>
      </c>
      <c r="B111" s="13" t="s">
        <v>302</v>
      </c>
      <c r="C111" s="13" t="s">
        <v>5</v>
      </c>
      <c r="D111" s="13" t="s">
        <v>34</v>
      </c>
      <c r="E111" s="15">
        <v>45241</v>
      </c>
      <c r="F111" s="15">
        <v>45255</v>
      </c>
      <c r="G111" s="13" t="s">
        <v>23</v>
      </c>
      <c r="H111" s="13" t="s">
        <v>168</v>
      </c>
      <c r="I111" s="13" t="s">
        <v>303</v>
      </c>
      <c r="J111" s="13" t="s">
        <v>49</v>
      </c>
      <c r="M111" s="13">
        <v>0</v>
      </c>
    </row>
    <row r="112" spans="1:13" x14ac:dyDescent="0.25">
      <c r="A112" s="14">
        <v>1</v>
      </c>
      <c r="B112" s="13" t="s">
        <v>304</v>
      </c>
      <c r="C112" s="13" t="s">
        <v>5</v>
      </c>
      <c r="D112" s="13" t="s">
        <v>34</v>
      </c>
      <c r="E112" s="15">
        <v>45229</v>
      </c>
      <c r="F112" s="15">
        <v>45257</v>
      </c>
      <c r="G112" s="13" t="s">
        <v>23</v>
      </c>
      <c r="H112" s="13" t="s">
        <v>148</v>
      </c>
      <c r="I112" s="13" t="s">
        <v>305</v>
      </c>
      <c r="J112" s="13" t="s">
        <v>49</v>
      </c>
      <c r="M112" s="13">
        <v>0</v>
      </c>
    </row>
    <row r="113" spans="1:13" x14ac:dyDescent="0.25">
      <c r="A113" s="14">
        <v>1</v>
      </c>
      <c r="B113" s="13" t="s">
        <v>306</v>
      </c>
      <c r="C113" s="13" t="s">
        <v>5</v>
      </c>
      <c r="D113" s="13" t="s">
        <v>34</v>
      </c>
      <c r="E113" s="15">
        <v>45229</v>
      </c>
      <c r="F113" s="15">
        <v>45257</v>
      </c>
      <c r="G113" s="13" t="s">
        <v>23</v>
      </c>
      <c r="H113" s="13" t="s">
        <v>148</v>
      </c>
      <c r="I113" s="13" t="s">
        <v>307</v>
      </c>
      <c r="J113" s="13" t="s">
        <v>49</v>
      </c>
      <c r="M113" s="13">
        <v>0</v>
      </c>
    </row>
    <row r="114" spans="1:13" x14ac:dyDescent="0.25">
      <c r="A114" s="14">
        <v>1</v>
      </c>
      <c r="B114" s="13" t="s">
        <v>308</v>
      </c>
      <c r="C114" s="13" t="s">
        <v>5</v>
      </c>
      <c r="D114" s="13" t="s">
        <v>34</v>
      </c>
      <c r="E114" s="15">
        <v>45229</v>
      </c>
      <c r="F114" s="15">
        <v>45257</v>
      </c>
      <c r="G114" s="13" t="s">
        <v>23</v>
      </c>
      <c r="H114" s="13" t="s">
        <v>98</v>
      </c>
      <c r="I114" s="13" t="s">
        <v>309</v>
      </c>
      <c r="J114" s="13" t="s">
        <v>49</v>
      </c>
      <c r="M114" s="13">
        <v>0</v>
      </c>
    </row>
    <row r="115" spans="1:13" x14ac:dyDescent="0.25">
      <c r="A115" s="14">
        <v>1</v>
      </c>
      <c r="B115" s="13" t="s">
        <v>310</v>
      </c>
      <c r="C115" s="13" t="s">
        <v>5</v>
      </c>
      <c r="D115" s="13" t="s">
        <v>34</v>
      </c>
      <c r="E115" s="15">
        <v>45230</v>
      </c>
      <c r="F115" s="15">
        <v>45258</v>
      </c>
      <c r="G115" s="13" t="s">
        <v>23</v>
      </c>
      <c r="H115" s="13" t="s">
        <v>311</v>
      </c>
      <c r="I115" s="13" t="s">
        <v>312</v>
      </c>
      <c r="J115" s="13" t="s">
        <v>81</v>
      </c>
      <c r="M115" s="13">
        <v>0</v>
      </c>
    </row>
    <row r="116" spans="1:13" x14ac:dyDescent="0.25">
      <c r="A116" s="14">
        <v>1</v>
      </c>
      <c r="B116" s="13" t="s">
        <v>313</v>
      </c>
      <c r="C116" s="13" t="s">
        <v>5</v>
      </c>
      <c r="D116" s="13" t="s">
        <v>34</v>
      </c>
      <c r="E116" s="15">
        <v>45230</v>
      </c>
      <c r="F116" s="15">
        <v>45258</v>
      </c>
      <c r="G116" s="13" t="s">
        <v>23</v>
      </c>
      <c r="H116" s="13" t="s">
        <v>311</v>
      </c>
      <c r="I116" s="13" t="s">
        <v>314</v>
      </c>
      <c r="J116" s="13" t="s">
        <v>81</v>
      </c>
      <c r="M116" s="13">
        <v>0</v>
      </c>
    </row>
    <row r="117" spans="1:13" x14ac:dyDescent="0.25">
      <c r="A117" s="14">
        <v>1</v>
      </c>
      <c r="B117" s="13" t="s">
        <v>315</v>
      </c>
      <c r="C117" s="13" t="s">
        <v>5</v>
      </c>
      <c r="D117" s="13" t="s">
        <v>34</v>
      </c>
      <c r="E117" s="15">
        <v>45230</v>
      </c>
      <c r="F117" s="15">
        <v>45258</v>
      </c>
      <c r="G117" s="13" t="s">
        <v>23</v>
      </c>
      <c r="H117" s="13" t="s">
        <v>316</v>
      </c>
      <c r="I117" s="13" t="s">
        <v>317</v>
      </c>
      <c r="J117" s="13" t="s">
        <v>49</v>
      </c>
      <c r="M117" s="13">
        <v>0</v>
      </c>
    </row>
    <row r="118" spans="1:13" x14ac:dyDescent="0.25">
      <c r="A118" s="14">
        <v>1</v>
      </c>
      <c r="B118" s="13" t="s">
        <v>318</v>
      </c>
      <c r="C118" s="13" t="s">
        <v>5</v>
      </c>
      <c r="D118" s="13" t="s">
        <v>34</v>
      </c>
      <c r="E118" s="15">
        <v>45230</v>
      </c>
      <c r="F118" s="15">
        <v>45258</v>
      </c>
      <c r="G118" s="13" t="s">
        <v>23</v>
      </c>
      <c r="H118" s="13" t="s">
        <v>319</v>
      </c>
      <c r="I118" s="13" t="s">
        <v>317</v>
      </c>
      <c r="J118" s="13" t="s">
        <v>320</v>
      </c>
      <c r="M118" s="13">
        <v>0</v>
      </c>
    </row>
    <row r="119" spans="1:13" x14ac:dyDescent="0.25">
      <c r="A119" s="14">
        <v>1</v>
      </c>
      <c r="B119" s="13" t="s">
        <v>321</v>
      </c>
      <c r="C119" s="13" t="s">
        <v>5</v>
      </c>
      <c r="D119" s="13" t="s">
        <v>34</v>
      </c>
      <c r="E119" s="15">
        <v>45230</v>
      </c>
      <c r="F119" s="15">
        <v>45258</v>
      </c>
      <c r="G119" s="13" t="s">
        <v>23</v>
      </c>
      <c r="H119" s="13" t="s">
        <v>316</v>
      </c>
      <c r="I119" s="13" t="s">
        <v>322</v>
      </c>
      <c r="J119" s="13" t="s">
        <v>49</v>
      </c>
      <c r="M119" s="13">
        <v>0</v>
      </c>
    </row>
    <row r="120" spans="1:13" x14ac:dyDescent="0.25">
      <c r="A120" s="14">
        <v>1</v>
      </c>
      <c r="B120" s="13" t="s">
        <v>323</v>
      </c>
      <c r="C120" s="13" t="s">
        <v>5</v>
      </c>
      <c r="D120" s="13" t="s">
        <v>34</v>
      </c>
      <c r="E120" s="15">
        <v>45230</v>
      </c>
      <c r="F120" s="15">
        <v>45258</v>
      </c>
      <c r="G120" s="13" t="s">
        <v>23</v>
      </c>
      <c r="H120" s="13" t="s">
        <v>319</v>
      </c>
      <c r="I120" s="13" t="s">
        <v>322</v>
      </c>
      <c r="J120" s="13" t="s">
        <v>320</v>
      </c>
      <c r="M120" s="13">
        <v>0</v>
      </c>
    </row>
    <row r="121" spans="1:13" x14ac:dyDescent="0.25">
      <c r="A121" s="14">
        <v>1</v>
      </c>
      <c r="B121" s="13" t="s">
        <v>324</v>
      </c>
      <c r="C121" s="13" t="s">
        <v>5</v>
      </c>
      <c r="D121" s="13" t="s">
        <v>34</v>
      </c>
      <c r="E121" s="15">
        <v>45230</v>
      </c>
      <c r="F121" s="15">
        <v>45258</v>
      </c>
      <c r="G121" s="13" t="s">
        <v>23</v>
      </c>
      <c r="H121" s="13" t="s">
        <v>316</v>
      </c>
      <c r="I121" s="13" t="s">
        <v>325</v>
      </c>
      <c r="J121" s="13" t="s">
        <v>49</v>
      </c>
      <c r="M121" s="13">
        <v>0</v>
      </c>
    </row>
    <row r="122" spans="1:13" x14ac:dyDescent="0.25">
      <c r="A122" s="14">
        <v>1</v>
      </c>
      <c r="B122" s="13" t="s">
        <v>326</v>
      </c>
      <c r="C122" s="13" t="s">
        <v>5</v>
      </c>
      <c r="D122" s="13" t="s">
        <v>34</v>
      </c>
      <c r="E122" s="15">
        <v>45230</v>
      </c>
      <c r="F122" s="15">
        <v>45258</v>
      </c>
      <c r="G122" s="13" t="s">
        <v>23</v>
      </c>
      <c r="H122" s="13" t="s">
        <v>319</v>
      </c>
      <c r="I122" s="13" t="s">
        <v>325</v>
      </c>
      <c r="J122" s="13" t="s">
        <v>320</v>
      </c>
      <c r="M122" s="13">
        <v>0</v>
      </c>
    </row>
    <row r="123" spans="1:13" x14ac:dyDescent="0.25">
      <c r="A123" s="14">
        <v>1</v>
      </c>
      <c r="B123" s="13" t="s">
        <v>327</v>
      </c>
      <c r="C123" s="13" t="s">
        <v>5</v>
      </c>
      <c r="D123" s="13" t="s">
        <v>34</v>
      </c>
      <c r="E123" s="15">
        <v>45230</v>
      </c>
      <c r="F123" s="15">
        <v>45258</v>
      </c>
      <c r="G123" s="13" t="s">
        <v>23</v>
      </c>
      <c r="H123" s="13" t="s">
        <v>316</v>
      </c>
      <c r="I123" s="13" t="s">
        <v>328</v>
      </c>
      <c r="J123" s="13" t="s">
        <v>49</v>
      </c>
      <c r="M123" s="13">
        <v>0</v>
      </c>
    </row>
    <row r="124" spans="1:13" x14ac:dyDescent="0.25">
      <c r="A124" s="14">
        <v>1</v>
      </c>
      <c r="B124" s="13" t="s">
        <v>329</v>
      </c>
      <c r="C124" s="13" t="s">
        <v>5</v>
      </c>
      <c r="D124" s="13" t="s">
        <v>34</v>
      </c>
      <c r="E124" s="15">
        <v>45230</v>
      </c>
      <c r="F124" s="15">
        <v>45258</v>
      </c>
      <c r="G124" s="13" t="s">
        <v>23</v>
      </c>
      <c r="H124" s="13" t="s">
        <v>319</v>
      </c>
      <c r="I124" s="13" t="s">
        <v>328</v>
      </c>
      <c r="J124" s="13" t="s">
        <v>320</v>
      </c>
      <c r="M124" s="13">
        <v>0</v>
      </c>
    </row>
    <row r="125" spans="1:13" x14ac:dyDescent="0.25">
      <c r="A125" s="14">
        <v>1</v>
      </c>
      <c r="B125" s="13" t="s">
        <v>330</v>
      </c>
      <c r="C125" s="13" t="s">
        <v>5</v>
      </c>
      <c r="D125" s="13" t="s">
        <v>34</v>
      </c>
      <c r="E125" s="15">
        <v>45230</v>
      </c>
      <c r="F125" s="15">
        <v>45258</v>
      </c>
      <c r="G125" s="13" t="s">
        <v>23</v>
      </c>
      <c r="H125" s="13" t="s">
        <v>316</v>
      </c>
      <c r="I125" s="13" t="s">
        <v>331</v>
      </c>
      <c r="J125" s="13" t="s">
        <v>49</v>
      </c>
      <c r="M125" s="13">
        <v>0</v>
      </c>
    </row>
    <row r="126" spans="1:13" x14ac:dyDescent="0.25">
      <c r="A126" s="14">
        <v>1</v>
      </c>
      <c r="B126" s="13" t="s">
        <v>332</v>
      </c>
      <c r="C126" s="13" t="s">
        <v>5</v>
      </c>
      <c r="D126" s="13" t="s">
        <v>34</v>
      </c>
      <c r="E126" s="15">
        <v>45230</v>
      </c>
      <c r="F126" s="15">
        <v>45258</v>
      </c>
      <c r="G126" s="13" t="s">
        <v>23</v>
      </c>
      <c r="H126" s="13" t="s">
        <v>319</v>
      </c>
      <c r="I126" s="13" t="s">
        <v>331</v>
      </c>
      <c r="J126" s="13" t="s">
        <v>320</v>
      </c>
      <c r="M126" s="13">
        <v>0</v>
      </c>
    </row>
    <row r="127" spans="1:13" x14ac:dyDescent="0.25">
      <c r="A127" s="14">
        <v>1</v>
      </c>
      <c r="B127" s="13" t="s">
        <v>333</v>
      </c>
      <c r="C127" s="13" t="s">
        <v>5</v>
      </c>
      <c r="D127" s="13" t="s">
        <v>34</v>
      </c>
      <c r="E127" s="15">
        <v>45230</v>
      </c>
      <c r="F127" s="15">
        <v>45258</v>
      </c>
      <c r="G127" s="13" t="s">
        <v>23</v>
      </c>
      <c r="H127" s="13" t="s">
        <v>316</v>
      </c>
      <c r="I127" s="13" t="s">
        <v>334</v>
      </c>
      <c r="J127" s="13" t="s">
        <v>49</v>
      </c>
      <c r="M127" s="13">
        <v>0</v>
      </c>
    </row>
    <row r="128" spans="1:13" x14ac:dyDescent="0.25">
      <c r="A128" s="14">
        <v>1</v>
      </c>
      <c r="B128" s="13" t="s">
        <v>335</v>
      </c>
      <c r="C128" s="13" t="s">
        <v>5</v>
      </c>
      <c r="D128" s="13" t="s">
        <v>34</v>
      </c>
      <c r="E128" s="15">
        <v>45230</v>
      </c>
      <c r="F128" s="15">
        <v>45258</v>
      </c>
      <c r="G128" s="13" t="s">
        <v>23</v>
      </c>
      <c r="H128" s="13" t="s">
        <v>319</v>
      </c>
      <c r="I128" s="13" t="s">
        <v>334</v>
      </c>
      <c r="J128" s="13" t="s">
        <v>320</v>
      </c>
      <c r="M128" s="13">
        <v>0</v>
      </c>
    </row>
    <row r="129" spans="1:13" x14ac:dyDescent="0.25">
      <c r="A129" s="14">
        <v>1</v>
      </c>
      <c r="B129" s="13" t="s">
        <v>336</v>
      </c>
      <c r="C129" s="13" t="s">
        <v>5</v>
      </c>
      <c r="D129" s="13" t="s">
        <v>34</v>
      </c>
      <c r="E129" s="15">
        <v>45230</v>
      </c>
      <c r="F129" s="15">
        <v>45258</v>
      </c>
      <c r="G129" s="13" t="s">
        <v>23</v>
      </c>
      <c r="H129" s="13" t="s">
        <v>316</v>
      </c>
      <c r="I129" s="13" t="s">
        <v>337</v>
      </c>
      <c r="J129" s="13" t="s">
        <v>49</v>
      </c>
      <c r="M129" s="13">
        <v>0</v>
      </c>
    </row>
    <row r="130" spans="1:13" x14ac:dyDescent="0.25">
      <c r="A130" s="14">
        <v>1</v>
      </c>
      <c r="B130" s="13" t="s">
        <v>338</v>
      </c>
      <c r="C130" s="13" t="s">
        <v>5</v>
      </c>
      <c r="D130" s="13" t="s">
        <v>34</v>
      </c>
      <c r="E130" s="15">
        <v>45230</v>
      </c>
      <c r="F130" s="15">
        <v>45258</v>
      </c>
      <c r="G130" s="13" t="s">
        <v>23</v>
      </c>
      <c r="H130" s="13" t="s">
        <v>319</v>
      </c>
      <c r="I130" s="13" t="s">
        <v>337</v>
      </c>
      <c r="J130" s="13" t="s">
        <v>320</v>
      </c>
      <c r="M130" s="13">
        <v>0</v>
      </c>
    </row>
    <row r="131" spans="1:13" x14ac:dyDescent="0.25">
      <c r="A131" s="14">
        <v>1</v>
      </c>
      <c r="B131" s="13" t="s">
        <v>339</v>
      </c>
      <c r="C131" s="13" t="s">
        <v>5</v>
      </c>
      <c r="D131" s="13" t="s">
        <v>34</v>
      </c>
      <c r="E131" s="15">
        <v>45230</v>
      </c>
      <c r="F131" s="15">
        <v>45258</v>
      </c>
      <c r="G131" s="13" t="s">
        <v>23</v>
      </c>
      <c r="H131" s="13" t="s">
        <v>316</v>
      </c>
      <c r="I131" s="13" t="s">
        <v>340</v>
      </c>
      <c r="J131" s="13" t="s">
        <v>49</v>
      </c>
      <c r="M131" s="13">
        <v>0</v>
      </c>
    </row>
    <row r="132" spans="1:13" x14ac:dyDescent="0.25">
      <c r="A132" s="14">
        <v>1</v>
      </c>
      <c r="B132" s="13" t="s">
        <v>341</v>
      </c>
      <c r="C132" s="13" t="s">
        <v>5</v>
      </c>
      <c r="D132" s="13" t="s">
        <v>34</v>
      </c>
      <c r="E132" s="15">
        <v>45230</v>
      </c>
      <c r="F132" s="15">
        <v>45258</v>
      </c>
      <c r="G132" s="13" t="s">
        <v>23</v>
      </c>
      <c r="H132" s="13" t="s">
        <v>319</v>
      </c>
      <c r="I132" s="13" t="s">
        <v>340</v>
      </c>
      <c r="J132" s="13" t="s">
        <v>320</v>
      </c>
      <c r="M132" s="13">
        <v>0</v>
      </c>
    </row>
    <row r="133" spans="1:13" x14ac:dyDescent="0.25">
      <c r="A133" s="14">
        <v>1</v>
      </c>
      <c r="B133" s="13" t="s">
        <v>342</v>
      </c>
      <c r="C133" s="13" t="s">
        <v>5</v>
      </c>
      <c r="D133" s="13" t="s">
        <v>34</v>
      </c>
      <c r="E133" s="15">
        <v>45230</v>
      </c>
      <c r="F133" s="15">
        <v>45258</v>
      </c>
      <c r="G133" s="13" t="s">
        <v>23</v>
      </c>
      <c r="H133" s="13" t="s">
        <v>316</v>
      </c>
      <c r="I133" s="13" t="s">
        <v>343</v>
      </c>
      <c r="J133" s="13" t="s">
        <v>49</v>
      </c>
      <c r="M133" s="13">
        <v>0</v>
      </c>
    </row>
    <row r="134" spans="1:13" x14ac:dyDescent="0.25">
      <c r="A134" s="14">
        <v>1</v>
      </c>
      <c r="B134" s="13" t="s">
        <v>344</v>
      </c>
      <c r="C134" s="13" t="s">
        <v>5</v>
      </c>
      <c r="D134" s="13" t="s">
        <v>34</v>
      </c>
      <c r="E134" s="15">
        <v>45230</v>
      </c>
      <c r="F134" s="15">
        <v>45258</v>
      </c>
      <c r="G134" s="13" t="s">
        <v>23</v>
      </c>
      <c r="H134" s="13" t="s">
        <v>319</v>
      </c>
      <c r="I134" s="13" t="s">
        <v>343</v>
      </c>
      <c r="J134" s="13" t="s">
        <v>320</v>
      </c>
      <c r="M134" s="13">
        <v>0</v>
      </c>
    </row>
    <row r="135" spans="1:13" x14ac:dyDescent="0.25">
      <c r="A135" s="14">
        <v>1</v>
      </c>
      <c r="B135" s="13" t="s">
        <v>345</v>
      </c>
      <c r="C135" s="13" t="s">
        <v>5</v>
      </c>
      <c r="D135" s="13" t="s">
        <v>34</v>
      </c>
      <c r="E135" s="15">
        <v>45230</v>
      </c>
      <c r="F135" s="15">
        <v>45258</v>
      </c>
      <c r="G135" s="13" t="s">
        <v>23</v>
      </c>
      <c r="H135" s="13" t="s">
        <v>316</v>
      </c>
      <c r="I135" s="13" t="s">
        <v>346</v>
      </c>
      <c r="J135" s="13" t="s">
        <v>49</v>
      </c>
      <c r="M135" s="13">
        <v>0</v>
      </c>
    </row>
    <row r="136" spans="1:13" x14ac:dyDescent="0.25">
      <c r="A136" s="14">
        <v>1</v>
      </c>
      <c r="B136" s="13" t="s">
        <v>347</v>
      </c>
      <c r="C136" s="13" t="s">
        <v>5</v>
      </c>
      <c r="D136" s="13" t="s">
        <v>34</v>
      </c>
      <c r="E136" s="15">
        <v>45230</v>
      </c>
      <c r="F136" s="15">
        <v>45258</v>
      </c>
      <c r="G136" s="13" t="s">
        <v>23</v>
      </c>
      <c r="H136" s="13" t="s">
        <v>319</v>
      </c>
      <c r="I136" s="13" t="s">
        <v>346</v>
      </c>
      <c r="J136" s="13" t="s">
        <v>320</v>
      </c>
      <c r="M136" s="13">
        <v>0</v>
      </c>
    </row>
    <row r="137" spans="1:13" x14ac:dyDescent="0.25">
      <c r="A137" s="14">
        <v>1</v>
      </c>
      <c r="B137" s="13" t="s">
        <v>348</v>
      </c>
      <c r="C137" s="13" t="s">
        <v>5</v>
      </c>
      <c r="D137" s="13" t="s">
        <v>34</v>
      </c>
      <c r="E137" s="15">
        <v>45230</v>
      </c>
      <c r="F137" s="15">
        <v>45258</v>
      </c>
      <c r="G137" s="13" t="s">
        <v>23</v>
      </c>
      <c r="H137" s="13" t="s">
        <v>316</v>
      </c>
      <c r="I137" s="13" t="s">
        <v>349</v>
      </c>
      <c r="J137" s="13" t="s">
        <v>49</v>
      </c>
      <c r="M137" s="13">
        <v>0</v>
      </c>
    </row>
    <row r="138" spans="1:13" x14ac:dyDescent="0.25">
      <c r="A138" s="14">
        <v>1</v>
      </c>
      <c r="B138" s="13" t="s">
        <v>350</v>
      </c>
      <c r="C138" s="13" t="s">
        <v>5</v>
      </c>
      <c r="D138" s="13" t="s">
        <v>34</v>
      </c>
      <c r="E138" s="15">
        <v>45230</v>
      </c>
      <c r="F138" s="15">
        <v>45258</v>
      </c>
      <c r="G138" s="13" t="s">
        <v>23</v>
      </c>
      <c r="H138" s="13" t="s">
        <v>319</v>
      </c>
      <c r="I138" s="13" t="s">
        <v>349</v>
      </c>
      <c r="J138" s="13" t="s">
        <v>320</v>
      </c>
      <c r="M138" s="13">
        <v>0</v>
      </c>
    </row>
    <row r="139" spans="1:13" x14ac:dyDescent="0.25">
      <c r="A139" s="14">
        <v>1</v>
      </c>
      <c r="B139" s="13" t="s">
        <v>351</v>
      </c>
      <c r="C139" s="13" t="s">
        <v>5</v>
      </c>
      <c r="D139" s="13" t="s">
        <v>34</v>
      </c>
      <c r="E139" s="15">
        <v>45230</v>
      </c>
      <c r="F139" s="15">
        <v>45258</v>
      </c>
      <c r="G139" s="13" t="s">
        <v>23</v>
      </c>
      <c r="H139" s="13" t="s">
        <v>316</v>
      </c>
      <c r="I139" s="13" t="s">
        <v>352</v>
      </c>
      <c r="J139" s="13" t="s">
        <v>49</v>
      </c>
      <c r="M139" s="13">
        <v>0</v>
      </c>
    </row>
    <row r="140" spans="1:13" x14ac:dyDescent="0.25">
      <c r="A140" s="14">
        <v>1</v>
      </c>
      <c r="B140" s="13" t="s">
        <v>353</v>
      </c>
      <c r="C140" s="13" t="s">
        <v>5</v>
      </c>
      <c r="D140" s="13" t="s">
        <v>34</v>
      </c>
      <c r="E140" s="15">
        <v>45230</v>
      </c>
      <c r="F140" s="15">
        <v>45258</v>
      </c>
      <c r="G140" s="13" t="s">
        <v>23</v>
      </c>
      <c r="H140" s="13" t="s">
        <v>319</v>
      </c>
      <c r="I140" s="13" t="s">
        <v>352</v>
      </c>
      <c r="J140" s="13" t="s">
        <v>320</v>
      </c>
      <c r="M140" s="13">
        <v>0</v>
      </c>
    </row>
    <row r="141" spans="1:13" x14ac:dyDescent="0.25">
      <c r="A141" s="14">
        <v>1</v>
      </c>
      <c r="B141" s="13" t="s">
        <v>354</v>
      </c>
      <c r="C141" s="13" t="s">
        <v>5</v>
      </c>
      <c r="D141" s="13" t="s">
        <v>34</v>
      </c>
      <c r="E141" s="15">
        <v>45230</v>
      </c>
      <c r="F141" s="15">
        <v>45258</v>
      </c>
      <c r="G141" s="13" t="s">
        <v>23</v>
      </c>
      <c r="H141" s="13" t="s">
        <v>316</v>
      </c>
      <c r="I141" s="13" t="s">
        <v>355</v>
      </c>
      <c r="J141" s="13" t="s">
        <v>49</v>
      </c>
      <c r="M141" s="13">
        <v>0</v>
      </c>
    </row>
    <row r="142" spans="1:13" x14ac:dyDescent="0.25">
      <c r="A142" s="14">
        <v>1</v>
      </c>
      <c r="B142" s="13" t="s">
        <v>356</v>
      </c>
      <c r="C142" s="13" t="s">
        <v>5</v>
      </c>
      <c r="D142" s="13" t="s">
        <v>34</v>
      </c>
      <c r="E142" s="15">
        <v>45230</v>
      </c>
      <c r="F142" s="15">
        <v>45258</v>
      </c>
      <c r="G142" s="13" t="s">
        <v>23</v>
      </c>
      <c r="H142" s="13" t="s">
        <v>319</v>
      </c>
      <c r="I142" s="13" t="s">
        <v>355</v>
      </c>
      <c r="J142" s="13" t="s">
        <v>320</v>
      </c>
      <c r="M142" s="13">
        <v>0</v>
      </c>
    </row>
    <row r="143" spans="1:13" x14ac:dyDescent="0.25">
      <c r="A143" s="14">
        <v>1</v>
      </c>
      <c r="B143" s="13" t="s">
        <v>357</v>
      </c>
      <c r="C143" s="13" t="s">
        <v>5</v>
      </c>
      <c r="D143" s="13" t="s">
        <v>34</v>
      </c>
      <c r="E143" s="15">
        <v>45230</v>
      </c>
      <c r="F143" s="15">
        <v>45258</v>
      </c>
      <c r="G143" s="13" t="s">
        <v>23</v>
      </c>
      <c r="H143" s="13" t="s">
        <v>316</v>
      </c>
      <c r="I143" s="13" t="s">
        <v>358</v>
      </c>
      <c r="J143" s="13" t="s">
        <v>49</v>
      </c>
      <c r="M143" s="13">
        <v>0</v>
      </c>
    </row>
    <row r="144" spans="1:13" x14ac:dyDescent="0.25">
      <c r="A144" s="14">
        <v>1</v>
      </c>
      <c r="B144" s="13" t="s">
        <v>359</v>
      </c>
      <c r="C144" s="13" t="s">
        <v>5</v>
      </c>
      <c r="D144" s="13" t="s">
        <v>34</v>
      </c>
      <c r="E144" s="15">
        <v>45230</v>
      </c>
      <c r="F144" s="15">
        <v>45258</v>
      </c>
      <c r="G144" s="13" t="s">
        <v>23</v>
      </c>
      <c r="H144" s="13" t="s">
        <v>319</v>
      </c>
      <c r="I144" s="13" t="s">
        <v>358</v>
      </c>
      <c r="J144" s="13" t="s">
        <v>320</v>
      </c>
      <c r="M144" s="13">
        <v>0</v>
      </c>
    </row>
    <row r="145" spans="1:13" x14ac:dyDescent="0.25">
      <c r="A145" s="14">
        <v>1</v>
      </c>
      <c r="B145" s="13" t="s">
        <v>360</v>
      </c>
      <c r="C145" s="13" t="s">
        <v>5</v>
      </c>
      <c r="D145" s="13" t="s">
        <v>34</v>
      </c>
      <c r="E145" s="15">
        <v>45230</v>
      </c>
      <c r="F145" s="15">
        <v>45258</v>
      </c>
      <c r="G145" s="13" t="s">
        <v>23</v>
      </c>
      <c r="H145" s="13" t="s">
        <v>316</v>
      </c>
      <c r="I145" s="13" t="s">
        <v>361</v>
      </c>
      <c r="J145" s="13" t="s">
        <v>49</v>
      </c>
      <c r="M145" s="13">
        <v>0</v>
      </c>
    </row>
    <row r="146" spans="1:13" x14ac:dyDescent="0.25">
      <c r="A146" s="14">
        <v>1</v>
      </c>
      <c r="B146" s="13" t="s">
        <v>362</v>
      </c>
      <c r="C146" s="13" t="s">
        <v>5</v>
      </c>
      <c r="D146" s="13" t="s">
        <v>34</v>
      </c>
      <c r="E146" s="15">
        <v>45230</v>
      </c>
      <c r="F146" s="15">
        <v>45258</v>
      </c>
      <c r="G146" s="13" t="s">
        <v>23</v>
      </c>
      <c r="H146" s="13" t="s">
        <v>319</v>
      </c>
      <c r="I146" s="13" t="s">
        <v>361</v>
      </c>
      <c r="J146" s="13" t="s">
        <v>320</v>
      </c>
      <c r="M146" s="13">
        <v>0</v>
      </c>
    </row>
    <row r="147" spans="1:13" x14ac:dyDescent="0.25">
      <c r="A147" s="14">
        <v>1</v>
      </c>
      <c r="B147" s="13" t="s">
        <v>363</v>
      </c>
      <c r="C147" s="13" t="s">
        <v>5</v>
      </c>
      <c r="D147" s="13" t="s">
        <v>34</v>
      </c>
      <c r="E147" s="15">
        <v>45230</v>
      </c>
      <c r="F147" s="15">
        <v>45258</v>
      </c>
      <c r="G147" s="13" t="s">
        <v>23</v>
      </c>
      <c r="H147" s="13" t="s">
        <v>316</v>
      </c>
      <c r="I147" s="13" t="s">
        <v>364</v>
      </c>
      <c r="J147" s="13" t="s">
        <v>49</v>
      </c>
      <c r="M147" s="13">
        <v>0</v>
      </c>
    </row>
    <row r="148" spans="1:13" x14ac:dyDescent="0.25">
      <c r="A148" s="14">
        <v>1</v>
      </c>
      <c r="B148" s="13" t="s">
        <v>365</v>
      </c>
      <c r="C148" s="13" t="s">
        <v>5</v>
      </c>
      <c r="D148" s="13" t="s">
        <v>34</v>
      </c>
      <c r="E148" s="15">
        <v>45230</v>
      </c>
      <c r="F148" s="15">
        <v>45258</v>
      </c>
      <c r="G148" s="13" t="s">
        <v>23</v>
      </c>
      <c r="H148" s="13" t="s">
        <v>319</v>
      </c>
      <c r="I148" s="13" t="s">
        <v>364</v>
      </c>
      <c r="J148" s="13" t="s">
        <v>320</v>
      </c>
      <c r="M148" s="13">
        <v>0</v>
      </c>
    </row>
    <row r="149" spans="1:13" x14ac:dyDescent="0.25">
      <c r="A149" s="14">
        <v>1</v>
      </c>
      <c r="B149" s="13" t="s">
        <v>366</v>
      </c>
      <c r="C149" s="13" t="s">
        <v>5</v>
      </c>
      <c r="D149" s="13" t="s">
        <v>34</v>
      </c>
      <c r="E149" s="15">
        <v>45230</v>
      </c>
      <c r="F149" s="15">
        <v>45258</v>
      </c>
      <c r="G149" s="13" t="s">
        <v>23</v>
      </c>
      <c r="H149" s="13" t="s">
        <v>316</v>
      </c>
      <c r="I149" s="13" t="s">
        <v>367</v>
      </c>
      <c r="J149" s="13" t="s">
        <v>49</v>
      </c>
      <c r="M149" s="13">
        <v>0</v>
      </c>
    </row>
    <row r="150" spans="1:13" x14ac:dyDescent="0.25">
      <c r="A150" s="14">
        <v>1</v>
      </c>
      <c r="B150" s="13" t="s">
        <v>368</v>
      </c>
      <c r="C150" s="13" t="s">
        <v>5</v>
      </c>
      <c r="D150" s="13" t="s">
        <v>34</v>
      </c>
      <c r="E150" s="15">
        <v>45230</v>
      </c>
      <c r="F150" s="15">
        <v>45258</v>
      </c>
      <c r="G150" s="13" t="s">
        <v>23</v>
      </c>
      <c r="H150" s="13" t="s">
        <v>319</v>
      </c>
      <c r="I150" s="13" t="s">
        <v>367</v>
      </c>
      <c r="J150" s="13" t="s">
        <v>320</v>
      </c>
      <c r="M150" s="13">
        <v>0</v>
      </c>
    </row>
    <row r="151" spans="1:13" x14ac:dyDescent="0.25">
      <c r="A151" s="14">
        <v>1</v>
      </c>
      <c r="B151" s="13" t="s">
        <v>369</v>
      </c>
      <c r="C151" s="13" t="s">
        <v>5</v>
      </c>
      <c r="D151" s="13" t="s">
        <v>34</v>
      </c>
      <c r="E151" s="15">
        <v>45230</v>
      </c>
      <c r="F151" s="15">
        <v>45258</v>
      </c>
      <c r="G151" s="13" t="s">
        <v>23</v>
      </c>
      <c r="H151" s="13" t="s">
        <v>148</v>
      </c>
      <c r="I151" s="13" t="s">
        <v>370</v>
      </c>
      <c r="J151" s="13" t="s">
        <v>49</v>
      </c>
      <c r="M151" s="13">
        <v>0</v>
      </c>
    </row>
    <row r="152" spans="1:13" x14ac:dyDescent="0.25">
      <c r="A152" s="14">
        <v>1</v>
      </c>
      <c r="B152" s="13" t="s">
        <v>371</v>
      </c>
      <c r="C152" s="13" t="s">
        <v>5</v>
      </c>
      <c r="D152" s="13" t="s">
        <v>34</v>
      </c>
      <c r="E152" s="15">
        <v>45230</v>
      </c>
      <c r="F152" s="15">
        <v>45258</v>
      </c>
      <c r="G152" s="13" t="s">
        <v>23</v>
      </c>
      <c r="H152" s="13" t="s">
        <v>148</v>
      </c>
      <c r="I152" s="13" t="s">
        <v>372</v>
      </c>
      <c r="J152" s="13" t="s">
        <v>49</v>
      </c>
      <c r="M152" s="13">
        <v>0</v>
      </c>
    </row>
    <row r="153" spans="1:13" x14ac:dyDescent="0.25">
      <c r="A153" s="14">
        <v>1</v>
      </c>
      <c r="B153" s="13" t="s">
        <v>373</v>
      </c>
      <c r="C153" s="13" t="s">
        <v>5</v>
      </c>
      <c r="D153" s="13" t="s">
        <v>34</v>
      </c>
      <c r="E153" s="15">
        <v>45230</v>
      </c>
      <c r="F153" s="15">
        <v>45258</v>
      </c>
      <c r="G153" s="13" t="s">
        <v>23</v>
      </c>
      <c r="H153" s="13" t="s">
        <v>148</v>
      </c>
      <c r="I153" s="13" t="s">
        <v>374</v>
      </c>
      <c r="J153" s="13" t="s">
        <v>49</v>
      </c>
      <c r="M153" s="13">
        <v>0</v>
      </c>
    </row>
    <row r="154" spans="1:13" x14ac:dyDescent="0.25">
      <c r="A154" s="14">
        <v>1</v>
      </c>
      <c r="B154" s="13" t="s">
        <v>375</v>
      </c>
      <c r="C154" s="13" t="s">
        <v>5</v>
      </c>
      <c r="D154" s="13" t="s">
        <v>34</v>
      </c>
      <c r="E154" s="15">
        <v>45230</v>
      </c>
      <c r="F154" s="15">
        <v>45258</v>
      </c>
      <c r="G154" s="13" t="s">
        <v>23</v>
      </c>
      <c r="H154" s="13" t="s">
        <v>148</v>
      </c>
      <c r="I154" s="13" t="s">
        <v>376</v>
      </c>
      <c r="J154" s="13" t="s">
        <v>49</v>
      </c>
      <c r="M154" s="13">
        <v>0</v>
      </c>
    </row>
    <row r="155" spans="1:13" x14ac:dyDescent="0.25">
      <c r="A155" s="14">
        <v>1</v>
      </c>
      <c r="B155" s="13" t="s">
        <v>377</v>
      </c>
      <c r="C155" s="13" t="s">
        <v>5</v>
      </c>
      <c r="D155" s="13" t="s">
        <v>34</v>
      </c>
      <c r="E155" s="15">
        <v>45230</v>
      </c>
      <c r="F155" s="15">
        <v>45258</v>
      </c>
      <c r="G155" s="13" t="s">
        <v>23</v>
      </c>
      <c r="H155" s="13" t="s">
        <v>148</v>
      </c>
      <c r="I155" s="13" t="s">
        <v>378</v>
      </c>
      <c r="J155" s="13" t="s">
        <v>49</v>
      </c>
      <c r="M155" s="13">
        <v>0</v>
      </c>
    </row>
    <row r="156" spans="1:13" x14ac:dyDescent="0.25">
      <c r="A156" s="14">
        <v>1</v>
      </c>
      <c r="B156" s="13" t="s">
        <v>379</v>
      </c>
      <c r="C156" s="13" t="s">
        <v>5</v>
      </c>
      <c r="D156" s="13" t="s">
        <v>34</v>
      </c>
      <c r="E156" s="15">
        <v>45230</v>
      </c>
      <c r="F156" s="15">
        <v>45258</v>
      </c>
      <c r="G156" s="13" t="s">
        <v>23</v>
      </c>
      <c r="H156" s="13" t="s">
        <v>148</v>
      </c>
      <c r="I156" s="13" t="s">
        <v>380</v>
      </c>
      <c r="J156" s="13" t="s">
        <v>49</v>
      </c>
      <c r="M156" s="13">
        <v>0</v>
      </c>
    </row>
    <row r="157" spans="1:13" x14ac:dyDescent="0.25">
      <c r="A157" s="14">
        <v>1</v>
      </c>
      <c r="B157" s="13" t="s">
        <v>381</v>
      </c>
      <c r="C157" s="13" t="s">
        <v>5</v>
      </c>
      <c r="D157" s="13" t="s">
        <v>34</v>
      </c>
      <c r="E157" s="15">
        <v>45230</v>
      </c>
      <c r="F157" s="15">
        <v>45258</v>
      </c>
      <c r="G157" s="13" t="s">
        <v>23</v>
      </c>
      <c r="H157" s="13" t="s">
        <v>253</v>
      </c>
      <c r="I157" s="13" t="s">
        <v>382</v>
      </c>
      <c r="J157" s="13" t="s">
        <v>49</v>
      </c>
      <c r="M157" s="13">
        <v>0</v>
      </c>
    </row>
    <row r="158" spans="1:13" x14ac:dyDescent="0.25">
      <c r="A158" s="14">
        <v>1</v>
      </c>
      <c r="B158" s="13" t="s">
        <v>383</v>
      </c>
      <c r="C158" s="13" t="s">
        <v>5</v>
      </c>
      <c r="D158" s="13" t="s">
        <v>34</v>
      </c>
      <c r="E158" s="15">
        <v>45230</v>
      </c>
      <c r="F158" s="15">
        <v>45258</v>
      </c>
      <c r="G158" s="13" t="s">
        <v>23</v>
      </c>
      <c r="H158" s="13" t="s">
        <v>253</v>
      </c>
      <c r="I158" s="13" t="s">
        <v>384</v>
      </c>
      <c r="J158" s="13" t="s">
        <v>49</v>
      </c>
      <c r="M158" s="13">
        <v>0</v>
      </c>
    </row>
    <row r="159" spans="1:13" x14ac:dyDescent="0.25">
      <c r="A159" s="14">
        <v>1</v>
      </c>
      <c r="B159" s="13" t="s">
        <v>385</v>
      </c>
      <c r="C159" s="13" t="s">
        <v>5</v>
      </c>
      <c r="D159" s="13" t="s">
        <v>34</v>
      </c>
      <c r="E159" s="15">
        <v>45230</v>
      </c>
      <c r="F159" s="15">
        <v>45258</v>
      </c>
      <c r="G159" s="13" t="s">
        <v>23</v>
      </c>
      <c r="H159" s="13" t="s">
        <v>253</v>
      </c>
      <c r="I159" s="13" t="s">
        <v>249</v>
      </c>
      <c r="J159" s="13" t="s">
        <v>49</v>
      </c>
      <c r="M159" s="13">
        <v>0</v>
      </c>
    </row>
    <row r="160" spans="1:13" x14ac:dyDescent="0.25">
      <c r="A160" s="14">
        <v>1</v>
      </c>
      <c r="B160" s="13" t="s">
        <v>386</v>
      </c>
      <c r="C160" s="13" t="s">
        <v>5</v>
      </c>
      <c r="D160" s="13" t="s">
        <v>34</v>
      </c>
      <c r="E160" s="15">
        <v>45231</v>
      </c>
      <c r="F160" s="15">
        <v>45259</v>
      </c>
      <c r="G160" s="13" t="s">
        <v>23</v>
      </c>
      <c r="H160" s="13" t="s">
        <v>278</v>
      </c>
      <c r="I160" s="13" t="s">
        <v>387</v>
      </c>
      <c r="J160" s="13" t="s">
        <v>280</v>
      </c>
      <c r="M160" s="13">
        <v>0</v>
      </c>
    </row>
    <row r="161" spans="1:13" x14ac:dyDescent="0.25">
      <c r="A161" s="14">
        <v>1</v>
      </c>
      <c r="B161" s="13" t="s">
        <v>388</v>
      </c>
      <c r="C161" s="13" t="s">
        <v>5</v>
      </c>
      <c r="D161" s="13" t="s">
        <v>34</v>
      </c>
      <c r="E161" s="15">
        <v>45231</v>
      </c>
      <c r="F161" s="15">
        <v>45259</v>
      </c>
      <c r="G161" s="13" t="s">
        <v>23</v>
      </c>
      <c r="H161" s="13" t="s">
        <v>148</v>
      </c>
      <c r="I161" s="13" t="s">
        <v>389</v>
      </c>
      <c r="J161" s="13" t="s">
        <v>49</v>
      </c>
      <c r="M161" s="13">
        <v>0</v>
      </c>
    </row>
    <row r="162" spans="1:13" x14ac:dyDescent="0.25">
      <c r="A162" s="14">
        <v>1</v>
      </c>
      <c r="B162" s="13" t="s">
        <v>390</v>
      </c>
      <c r="C162" s="13" t="s">
        <v>5</v>
      </c>
      <c r="D162" s="13" t="s">
        <v>34</v>
      </c>
      <c r="E162" s="15">
        <v>45232</v>
      </c>
      <c r="F162" s="15">
        <v>45260</v>
      </c>
      <c r="G162" s="13" t="s">
        <v>23</v>
      </c>
      <c r="H162" s="13" t="s">
        <v>98</v>
      </c>
      <c r="I162" s="13" t="s">
        <v>391</v>
      </c>
      <c r="J162" s="13" t="s">
        <v>49</v>
      </c>
      <c r="M162" s="13">
        <v>0</v>
      </c>
    </row>
    <row r="163" spans="1:13" x14ac:dyDescent="0.25">
      <c r="A163" s="14">
        <v>1</v>
      </c>
      <c r="B163" s="13" t="s">
        <v>392</v>
      </c>
      <c r="C163" s="13" t="s">
        <v>5</v>
      </c>
      <c r="D163" s="13" t="s">
        <v>34</v>
      </c>
      <c r="E163" s="15">
        <v>45232</v>
      </c>
      <c r="F163" s="15">
        <v>45260</v>
      </c>
      <c r="G163" s="13" t="s">
        <v>23</v>
      </c>
      <c r="H163" s="13" t="s">
        <v>253</v>
      </c>
      <c r="I163" s="13" t="s">
        <v>393</v>
      </c>
      <c r="J163" s="13" t="s">
        <v>49</v>
      </c>
      <c r="M163" s="13">
        <v>0</v>
      </c>
    </row>
    <row r="164" spans="1:13" x14ac:dyDescent="0.25">
      <c r="A164" s="14">
        <v>1</v>
      </c>
      <c r="B164" s="13" t="s">
        <v>394</v>
      </c>
      <c r="C164" s="13" t="s">
        <v>5</v>
      </c>
      <c r="D164" s="13" t="s">
        <v>34</v>
      </c>
      <c r="E164" s="15">
        <v>45233</v>
      </c>
      <c r="F164" s="15">
        <v>45261</v>
      </c>
      <c r="G164" s="13" t="s">
        <v>23</v>
      </c>
      <c r="H164" s="13" t="s">
        <v>83</v>
      </c>
      <c r="I164" s="13" t="s">
        <v>395</v>
      </c>
      <c r="J164" s="13" t="s">
        <v>81</v>
      </c>
      <c r="M164" s="13">
        <v>0</v>
      </c>
    </row>
    <row r="165" spans="1:13" x14ac:dyDescent="0.25">
      <c r="A165" s="14">
        <v>1</v>
      </c>
      <c r="B165" s="13" t="s">
        <v>396</v>
      </c>
      <c r="C165" s="13" t="s">
        <v>5</v>
      </c>
      <c r="D165" s="13" t="s">
        <v>34</v>
      </c>
      <c r="E165" s="15">
        <v>45233</v>
      </c>
      <c r="F165" s="15">
        <v>45261</v>
      </c>
      <c r="G165" s="13" t="s">
        <v>23</v>
      </c>
      <c r="H165" s="13" t="s">
        <v>83</v>
      </c>
      <c r="I165" s="13" t="s">
        <v>397</v>
      </c>
      <c r="J165" s="13" t="s">
        <v>81</v>
      </c>
      <c r="M165" s="13">
        <v>0</v>
      </c>
    </row>
    <row r="166" spans="1:13" x14ac:dyDescent="0.25">
      <c r="A166" s="14">
        <v>1</v>
      </c>
      <c r="B166" s="13" t="s">
        <v>398</v>
      </c>
      <c r="C166" s="13" t="s">
        <v>5</v>
      </c>
      <c r="D166" s="13" t="s">
        <v>34</v>
      </c>
      <c r="E166" s="15">
        <v>45236</v>
      </c>
      <c r="F166" s="15">
        <v>45264</v>
      </c>
      <c r="G166" s="13" t="s">
        <v>23</v>
      </c>
      <c r="H166" s="13" t="s">
        <v>148</v>
      </c>
      <c r="I166" s="13" t="s">
        <v>399</v>
      </c>
      <c r="J166" s="13" t="s">
        <v>49</v>
      </c>
      <c r="M166" s="13">
        <v>0</v>
      </c>
    </row>
    <row r="167" spans="1:13" x14ac:dyDescent="0.25">
      <c r="A167" s="14">
        <v>1</v>
      </c>
      <c r="B167" s="13" t="s">
        <v>400</v>
      </c>
      <c r="C167" s="13" t="s">
        <v>5</v>
      </c>
      <c r="D167" s="13" t="s">
        <v>34</v>
      </c>
      <c r="E167" s="15">
        <v>45250</v>
      </c>
      <c r="F167" s="15">
        <v>45264</v>
      </c>
      <c r="G167" s="13" t="s">
        <v>23</v>
      </c>
      <c r="H167" s="13" t="s">
        <v>65</v>
      </c>
      <c r="I167" s="13" t="s">
        <v>401</v>
      </c>
      <c r="J167" s="13" t="s">
        <v>49</v>
      </c>
      <c r="M167" s="13">
        <v>0</v>
      </c>
    </row>
    <row r="168" spans="1:13" x14ac:dyDescent="0.25">
      <c r="A168" s="14">
        <v>1</v>
      </c>
      <c r="B168" s="13" t="s">
        <v>402</v>
      </c>
      <c r="C168" s="13" t="s">
        <v>5</v>
      </c>
      <c r="D168" s="13" t="s">
        <v>34</v>
      </c>
      <c r="E168" s="15">
        <v>45237</v>
      </c>
      <c r="F168" s="15">
        <v>45265</v>
      </c>
      <c r="G168" s="13" t="s">
        <v>23</v>
      </c>
      <c r="H168" s="13" t="s">
        <v>278</v>
      </c>
      <c r="I168" s="13" t="s">
        <v>403</v>
      </c>
      <c r="J168" s="13" t="s">
        <v>280</v>
      </c>
      <c r="M168" s="13">
        <v>0</v>
      </c>
    </row>
    <row r="169" spans="1:13" x14ac:dyDescent="0.25">
      <c r="A169" s="14">
        <v>1</v>
      </c>
      <c r="B169" s="13" t="s">
        <v>404</v>
      </c>
      <c r="C169" s="13" t="s">
        <v>5</v>
      </c>
      <c r="D169" s="13" t="s">
        <v>34</v>
      </c>
      <c r="E169" s="15">
        <v>45237</v>
      </c>
      <c r="F169" s="15">
        <v>45265</v>
      </c>
      <c r="G169" s="13" t="s">
        <v>23</v>
      </c>
      <c r="H169" s="13" t="s">
        <v>83</v>
      </c>
      <c r="I169" s="13" t="s">
        <v>405</v>
      </c>
      <c r="J169" s="13" t="s">
        <v>81</v>
      </c>
      <c r="M169" s="13">
        <v>0</v>
      </c>
    </row>
    <row r="170" spans="1:13" x14ac:dyDescent="0.25">
      <c r="A170" s="14">
        <v>1</v>
      </c>
      <c r="B170" s="13" t="s">
        <v>406</v>
      </c>
      <c r="C170" s="13" t="s">
        <v>5</v>
      </c>
      <c r="D170" s="13" t="s">
        <v>34</v>
      </c>
      <c r="E170" s="15">
        <v>45239</v>
      </c>
      <c r="F170" s="15">
        <v>45267</v>
      </c>
      <c r="G170" s="13" t="s">
        <v>23</v>
      </c>
      <c r="H170" s="13" t="s">
        <v>138</v>
      </c>
      <c r="I170" s="13" t="s">
        <v>407</v>
      </c>
      <c r="J170" s="13" t="s">
        <v>49</v>
      </c>
      <c r="M170" s="13">
        <v>0</v>
      </c>
    </row>
    <row r="171" spans="1:13" x14ac:dyDescent="0.25">
      <c r="A171" s="14">
        <v>1</v>
      </c>
      <c r="B171" s="13" t="s">
        <v>408</v>
      </c>
      <c r="C171" s="13" t="s">
        <v>5</v>
      </c>
      <c r="D171" s="13" t="s">
        <v>34</v>
      </c>
      <c r="E171" s="15">
        <v>45240</v>
      </c>
      <c r="F171" s="15">
        <v>45268</v>
      </c>
      <c r="G171" s="13" t="s">
        <v>23</v>
      </c>
      <c r="H171" s="13" t="s">
        <v>132</v>
      </c>
      <c r="I171" s="13" t="s">
        <v>409</v>
      </c>
      <c r="J171" s="13" t="s">
        <v>49</v>
      </c>
      <c r="M171" s="13">
        <v>0</v>
      </c>
    </row>
    <row r="172" spans="1:13" x14ac:dyDescent="0.25">
      <c r="A172" s="14">
        <v>1</v>
      </c>
      <c r="B172" s="13" t="s">
        <v>410</v>
      </c>
      <c r="C172" s="13" t="s">
        <v>5</v>
      </c>
      <c r="D172" s="13" t="s">
        <v>34</v>
      </c>
      <c r="E172" s="15">
        <v>45240</v>
      </c>
      <c r="F172" s="15">
        <v>45268</v>
      </c>
      <c r="G172" s="13" t="s">
        <v>23</v>
      </c>
      <c r="H172" s="13" t="s">
        <v>132</v>
      </c>
      <c r="I172" s="13" t="s">
        <v>411</v>
      </c>
      <c r="J172" s="13" t="s">
        <v>49</v>
      </c>
      <c r="M172" s="13">
        <v>0</v>
      </c>
    </row>
    <row r="173" spans="1:13" x14ac:dyDescent="0.25">
      <c r="A173" s="14">
        <v>1</v>
      </c>
      <c r="B173" s="13" t="s">
        <v>412</v>
      </c>
      <c r="C173" s="13" t="s">
        <v>5</v>
      </c>
      <c r="D173" s="13" t="s">
        <v>34</v>
      </c>
      <c r="E173" s="15">
        <v>45240</v>
      </c>
      <c r="F173" s="15">
        <v>45268</v>
      </c>
      <c r="G173" s="13" t="s">
        <v>23</v>
      </c>
      <c r="H173" s="13" t="s">
        <v>83</v>
      </c>
      <c r="I173" s="13" t="s">
        <v>413</v>
      </c>
      <c r="J173" s="13" t="s">
        <v>81</v>
      </c>
      <c r="M173" s="13">
        <v>0</v>
      </c>
    </row>
    <row r="174" spans="1:13" x14ac:dyDescent="0.25">
      <c r="A174" s="14">
        <v>1</v>
      </c>
      <c r="B174" s="13" t="s">
        <v>414</v>
      </c>
      <c r="C174" s="13" t="s">
        <v>5</v>
      </c>
      <c r="D174" s="13" t="s">
        <v>34</v>
      </c>
      <c r="E174" s="15">
        <v>45240</v>
      </c>
      <c r="F174" s="15">
        <v>45268</v>
      </c>
      <c r="G174" s="13" t="s">
        <v>23</v>
      </c>
      <c r="H174" s="13" t="s">
        <v>415</v>
      </c>
      <c r="I174" s="13" t="s">
        <v>416</v>
      </c>
      <c r="J174" s="13" t="s">
        <v>49</v>
      </c>
      <c r="M174" s="13">
        <v>0</v>
      </c>
    </row>
    <row r="175" spans="1:13" x14ac:dyDescent="0.25">
      <c r="A175" s="14">
        <v>1</v>
      </c>
      <c r="B175" s="13" t="s">
        <v>417</v>
      </c>
      <c r="C175" s="13" t="s">
        <v>5</v>
      </c>
      <c r="D175" s="13" t="s">
        <v>34</v>
      </c>
      <c r="E175" s="15">
        <v>45242</v>
      </c>
      <c r="F175" s="15">
        <v>45270</v>
      </c>
      <c r="G175" s="13" t="s">
        <v>23</v>
      </c>
      <c r="H175" s="13" t="s">
        <v>267</v>
      </c>
      <c r="I175" s="13" t="s">
        <v>418</v>
      </c>
      <c r="J175" s="13" t="s">
        <v>49</v>
      </c>
      <c r="M175" s="13">
        <v>0</v>
      </c>
    </row>
    <row r="176" spans="1:13" x14ac:dyDescent="0.25">
      <c r="A176" s="14">
        <v>1</v>
      </c>
      <c r="B176" s="13" t="s">
        <v>419</v>
      </c>
      <c r="C176" s="13" t="s">
        <v>5</v>
      </c>
      <c r="D176" s="13" t="s">
        <v>34</v>
      </c>
      <c r="E176" s="15">
        <v>45242</v>
      </c>
      <c r="F176" s="15">
        <v>45270</v>
      </c>
      <c r="G176" s="13" t="s">
        <v>23</v>
      </c>
      <c r="H176" s="13" t="s">
        <v>267</v>
      </c>
      <c r="I176" s="13" t="s">
        <v>420</v>
      </c>
      <c r="J176" s="13" t="s">
        <v>49</v>
      </c>
      <c r="M176" s="13">
        <v>0</v>
      </c>
    </row>
    <row r="177" spans="1:13" x14ac:dyDescent="0.25">
      <c r="A177" s="14">
        <v>1</v>
      </c>
      <c r="B177" s="13" t="s">
        <v>421</v>
      </c>
      <c r="C177" s="13" t="s">
        <v>5</v>
      </c>
      <c r="D177" s="13" t="s">
        <v>34</v>
      </c>
      <c r="E177" s="15">
        <v>45242</v>
      </c>
      <c r="F177" s="15">
        <v>45270</v>
      </c>
      <c r="G177" s="13" t="s">
        <v>23</v>
      </c>
      <c r="H177" s="13" t="s">
        <v>267</v>
      </c>
      <c r="I177" s="13" t="s">
        <v>422</v>
      </c>
      <c r="J177" s="13" t="s">
        <v>49</v>
      </c>
      <c r="M177" s="13">
        <v>0</v>
      </c>
    </row>
    <row r="178" spans="1:13" x14ac:dyDescent="0.25">
      <c r="A178" s="14">
        <v>1</v>
      </c>
      <c r="B178" s="13" t="s">
        <v>423</v>
      </c>
      <c r="C178" s="13" t="s">
        <v>5</v>
      </c>
      <c r="D178" s="13" t="s">
        <v>34</v>
      </c>
      <c r="E178" s="15">
        <v>45242</v>
      </c>
      <c r="F178" s="15">
        <v>45270</v>
      </c>
      <c r="G178" s="13" t="s">
        <v>23</v>
      </c>
      <c r="H178" s="13" t="s">
        <v>267</v>
      </c>
      <c r="I178" s="13" t="s">
        <v>424</v>
      </c>
      <c r="J178" s="13" t="s">
        <v>49</v>
      </c>
      <c r="M178" s="13">
        <v>0</v>
      </c>
    </row>
    <row r="179" spans="1:13" x14ac:dyDescent="0.25">
      <c r="A179" s="14">
        <v>1</v>
      </c>
      <c r="B179" s="13" t="s">
        <v>425</v>
      </c>
      <c r="C179" s="13" t="s">
        <v>5</v>
      </c>
      <c r="D179" s="13" t="s">
        <v>34</v>
      </c>
      <c r="E179" s="15">
        <v>45242</v>
      </c>
      <c r="F179" s="15">
        <v>45270</v>
      </c>
      <c r="G179" s="13" t="s">
        <v>23</v>
      </c>
      <c r="H179" s="13" t="s">
        <v>267</v>
      </c>
      <c r="I179" s="13" t="s">
        <v>426</v>
      </c>
      <c r="J179" s="13" t="s">
        <v>49</v>
      </c>
      <c r="M179" s="13">
        <v>0</v>
      </c>
    </row>
    <row r="180" spans="1:13" x14ac:dyDescent="0.25">
      <c r="A180" s="14">
        <v>1</v>
      </c>
      <c r="B180" s="13" t="s">
        <v>427</v>
      </c>
      <c r="C180" s="13" t="s">
        <v>5</v>
      </c>
      <c r="D180" s="13" t="s">
        <v>34</v>
      </c>
      <c r="E180" s="15">
        <v>45242</v>
      </c>
      <c r="F180" s="15">
        <v>45270</v>
      </c>
      <c r="G180" s="13" t="s">
        <v>23</v>
      </c>
      <c r="H180" s="13" t="s">
        <v>267</v>
      </c>
      <c r="I180" s="13" t="s">
        <v>428</v>
      </c>
      <c r="J180" s="13" t="s">
        <v>49</v>
      </c>
      <c r="M180" s="13">
        <v>0</v>
      </c>
    </row>
    <row r="181" spans="1:13" x14ac:dyDescent="0.25">
      <c r="A181" s="14">
        <v>1</v>
      </c>
      <c r="B181" s="13" t="s">
        <v>429</v>
      </c>
      <c r="C181" s="13" t="s">
        <v>5</v>
      </c>
      <c r="D181" s="13" t="s">
        <v>34</v>
      </c>
      <c r="E181" s="15">
        <v>45242</v>
      </c>
      <c r="F181" s="15">
        <v>45270</v>
      </c>
      <c r="G181" s="13" t="s">
        <v>23</v>
      </c>
      <c r="H181" s="13" t="s">
        <v>267</v>
      </c>
      <c r="I181" s="13" t="s">
        <v>430</v>
      </c>
      <c r="J181" s="13" t="s">
        <v>49</v>
      </c>
      <c r="M181" s="13">
        <v>0</v>
      </c>
    </row>
    <row r="182" spans="1:13" x14ac:dyDescent="0.25">
      <c r="A182" s="14">
        <v>1</v>
      </c>
      <c r="B182" s="13" t="s">
        <v>431</v>
      </c>
      <c r="C182" s="13" t="s">
        <v>5</v>
      </c>
      <c r="D182" s="13" t="s">
        <v>34</v>
      </c>
      <c r="E182" s="15">
        <v>45242</v>
      </c>
      <c r="F182" s="15">
        <v>45270</v>
      </c>
      <c r="G182" s="13" t="s">
        <v>23</v>
      </c>
      <c r="H182" s="13" t="s">
        <v>109</v>
      </c>
      <c r="I182" s="13" t="s">
        <v>432</v>
      </c>
      <c r="J182" s="13" t="s">
        <v>49</v>
      </c>
      <c r="M182" s="13">
        <v>0</v>
      </c>
    </row>
    <row r="183" spans="1:13" x14ac:dyDescent="0.25">
      <c r="A183" s="14">
        <v>1</v>
      </c>
      <c r="B183" s="13" t="s">
        <v>433</v>
      </c>
      <c r="C183" s="13" t="s">
        <v>5</v>
      </c>
      <c r="D183" s="13" t="s">
        <v>34</v>
      </c>
      <c r="E183" s="15">
        <v>45242</v>
      </c>
      <c r="F183" s="15">
        <v>45270</v>
      </c>
      <c r="G183" s="13" t="s">
        <v>23</v>
      </c>
      <c r="H183" s="13" t="s">
        <v>109</v>
      </c>
      <c r="I183" s="13" t="s">
        <v>434</v>
      </c>
      <c r="J183" s="13" t="s">
        <v>49</v>
      </c>
      <c r="M183" s="13">
        <v>0</v>
      </c>
    </row>
    <row r="184" spans="1:13" x14ac:dyDescent="0.25">
      <c r="A184" s="14">
        <v>1</v>
      </c>
      <c r="B184" s="13" t="s">
        <v>435</v>
      </c>
      <c r="C184" s="13" t="s">
        <v>5</v>
      </c>
      <c r="D184" s="13" t="s">
        <v>34</v>
      </c>
      <c r="E184" s="15">
        <v>45242</v>
      </c>
      <c r="F184" s="15">
        <v>45270</v>
      </c>
      <c r="G184" s="13" t="s">
        <v>23</v>
      </c>
      <c r="H184" s="13" t="s">
        <v>109</v>
      </c>
      <c r="I184" s="13" t="s">
        <v>436</v>
      </c>
      <c r="J184" s="13" t="s">
        <v>49</v>
      </c>
      <c r="M184" s="13">
        <v>0</v>
      </c>
    </row>
    <row r="185" spans="1:13" x14ac:dyDescent="0.25">
      <c r="A185" s="14">
        <v>1</v>
      </c>
      <c r="B185" s="13" t="s">
        <v>437</v>
      </c>
      <c r="C185" s="13" t="s">
        <v>5</v>
      </c>
      <c r="D185" s="13" t="s">
        <v>34</v>
      </c>
      <c r="E185" s="15">
        <v>45244</v>
      </c>
      <c r="F185" s="15">
        <v>45272</v>
      </c>
      <c r="G185" s="13" t="s">
        <v>23</v>
      </c>
      <c r="H185" s="13" t="s">
        <v>438</v>
      </c>
      <c r="I185" s="13" t="s">
        <v>403</v>
      </c>
      <c r="J185" s="13" t="s">
        <v>439</v>
      </c>
      <c r="M185" s="13">
        <v>0</v>
      </c>
    </row>
    <row r="186" spans="1:13" x14ac:dyDescent="0.25">
      <c r="A186" s="14">
        <v>1</v>
      </c>
      <c r="B186" s="13" t="s">
        <v>440</v>
      </c>
      <c r="C186" s="13" t="s">
        <v>5</v>
      </c>
      <c r="D186" s="13" t="s">
        <v>34</v>
      </c>
      <c r="E186" s="15">
        <v>45244</v>
      </c>
      <c r="F186" s="15">
        <v>45272</v>
      </c>
      <c r="G186" s="13" t="s">
        <v>23</v>
      </c>
      <c r="H186" s="13" t="s">
        <v>83</v>
      </c>
      <c r="I186" s="13" t="s">
        <v>441</v>
      </c>
      <c r="J186" s="13" t="s">
        <v>81</v>
      </c>
      <c r="M186" s="13">
        <v>0</v>
      </c>
    </row>
    <row r="187" spans="1:13" x14ac:dyDescent="0.25">
      <c r="A187" s="14">
        <v>1</v>
      </c>
      <c r="B187" s="13" t="s">
        <v>442</v>
      </c>
      <c r="C187" s="13" t="s">
        <v>5</v>
      </c>
      <c r="D187" s="13" t="s">
        <v>34</v>
      </c>
      <c r="E187" s="15">
        <v>45244</v>
      </c>
      <c r="F187" s="15">
        <v>45272</v>
      </c>
      <c r="G187" s="13" t="s">
        <v>23</v>
      </c>
      <c r="H187" s="13" t="s">
        <v>83</v>
      </c>
      <c r="I187" s="13" t="s">
        <v>443</v>
      </c>
      <c r="J187" s="13" t="s">
        <v>81</v>
      </c>
      <c r="M187" s="13">
        <v>0</v>
      </c>
    </row>
    <row r="188" spans="1:13" x14ac:dyDescent="0.25">
      <c r="A188" s="14">
        <v>1</v>
      </c>
      <c r="B188" s="13" t="s">
        <v>444</v>
      </c>
      <c r="C188" s="13" t="s">
        <v>5</v>
      </c>
      <c r="D188" s="13" t="s">
        <v>34</v>
      </c>
      <c r="E188" s="15">
        <v>45245</v>
      </c>
      <c r="F188" s="15">
        <v>45273</v>
      </c>
      <c r="G188" s="13" t="s">
        <v>23</v>
      </c>
      <c r="H188" s="13" t="s">
        <v>83</v>
      </c>
      <c r="I188" s="13" t="s">
        <v>445</v>
      </c>
      <c r="J188" s="13" t="s">
        <v>81</v>
      </c>
      <c r="M188" s="13">
        <v>0</v>
      </c>
    </row>
    <row r="189" spans="1:13" x14ac:dyDescent="0.25">
      <c r="A189" s="14">
        <v>1</v>
      </c>
      <c r="B189" s="13" t="s">
        <v>446</v>
      </c>
      <c r="C189" s="13" t="s">
        <v>5</v>
      </c>
      <c r="D189" s="13" t="s">
        <v>34</v>
      </c>
      <c r="E189" s="15">
        <v>45245</v>
      </c>
      <c r="F189" s="15">
        <v>45273</v>
      </c>
      <c r="G189" s="13" t="s">
        <v>23</v>
      </c>
      <c r="H189" s="13" t="s">
        <v>98</v>
      </c>
      <c r="I189" s="13" t="s">
        <v>447</v>
      </c>
      <c r="J189" s="13" t="s">
        <v>49</v>
      </c>
      <c r="M189" s="13">
        <v>0</v>
      </c>
    </row>
    <row r="190" spans="1:13" x14ac:dyDescent="0.25">
      <c r="A190" s="14">
        <v>1</v>
      </c>
      <c r="B190" s="13" t="s">
        <v>448</v>
      </c>
      <c r="C190" s="13" t="s">
        <v>5</v>
      </c>
      <c r="D190" s="13" t="s">
        <v>34</v>
      </c>
      <c r="E190" s="15">
        <v>45245</v>
      </c>
      <c r="F190" s="15">
        <v>45273</v>
      </c>
      <c r="G190" s="13" t="s">
        <v>23</v>
      </c>
      <c r="H190" s="13" t="s">
        <v>449</v>
      </c>
      <c r="I190" s="13" t="s">
        <v>450</v>
      </c>
      <c r="J190" s="13" t="s">
        <v>49</v>
      </c>
      <c r="M190" s="13">
        <v>0</v>
      </c>
    </row>
    <row r="191" spans="1:13" x14ac:dyDescent="0.25">
      <c r="A191" s="14">
        <v>1</v>
      </c>
      <c r="B191" s="13" t="s">
        <v>451</v>
      </c>
      <c r="C191" s="13" t="s">
        <v>5</v>
      </c>
      <c r="D191" s="13" t="s">
        <v>34</v>
      </c>
      <c r="E191" s="15">
        <v>45248</v>
      </c>
      <c r="F191" s="15">
        <v>45276</v>
      </c>
      <c r="G191" s="13" t="s">
        <v>23</v>
      </c>
      <c r="H191" s="13" t="s">
        <v>452</v>
      </c>
      <c r="I191" s="13" t="s">
        <v>453</v>
      </c>
      <c r="J191" s="13" t="s">
        <v>454</v>
      </c>
      <c r="M191" s="13">
        <v>0</v>
      </c>
    </row>
    <row r="192" spans="1:13" x14ac:dyDescent="0.25">
      <c r="A192" s="14">
        <v>1</v>
      </c>
      <c r="B192" s="13" t="s">
        <v>455</v>
      </c>
      <c r="C192" s="13" t="s">
        <v>5</v>
      </c>
      <c r="D192" s="13" t="s">
        <v>34</v>
      </c>
      <c r="E192" s="15">
        <v>45249</v>
      </c>
      <c r="F192" s="15">
        <v>45277</v>
      </c>
      <c r="G192" s="13" t="s">
        <v>23</v>
      </c>
      <c r="H192" s="13" t="s">
        <v>93</v>
      </c>
      <c r="I192" s="13" t="s">
        <v>456</v>
      </c>
      <c r="J192" s="13" t="s">
        <v>49</v>
      </c>
      <c r="M192" s="13">
        <v>0</v>
      </c>
    </row>
    <row r="193" spans="1:13" x14ac:dyDescent="0.25">
      <c r="A193" s="14">
        <v>1</v>
      </c>
      <c r="B193" s="13" t="s">
        <v>457</v>
      </c>
      <c r="C193" s="13" t="s">
        <v>5</v>
      </c>
      <c r="D193" s="13" t="s">
        <v>34</v>
      </c>
      <c r="E193" s="15">
        <v>45249</v>
      </c>
      <c r="F193" s="15">
        <v>45277</v>
      </c>
      <c r="G193" s="13" t="s">
        <v>23</v>
      </c>
      <c r="H193" s="13" t="s">
        <v>458</v>
      </c>
      <c r="I193" s="13" t="s">
        <v>459</v>
      </c>
      <c r="J193" s="13" t="s">
        <v>49</v>
      </c>
      <c r="M193" s="13">
        <v>0</v>
      </c>
    </row>
    <row r="194" spans="1:13" x14ac:dyDescent="0.25">
      <c r="A194" s="14">
        <v>1</v>
      </c>
      <c r="B194" s="13" t="s">
        <v>460</v>
      </c>
      <c r="C194" s="13" t="s">
        <v>5</v>
      </c>
      <c r="D194" s="13" t="s">
        <v>34</v>
      </c>
      <c r="E194" s="15">
        <v>45250</v>
      </c>
      <c r="F194" s="15">
        <v>45278</v>
      </c>
      <c r="G194" s="13" t="s">
        <v>23</v>
      </c>
      <c r="H194" s="13" t="s">
        <v>311</v>
      </c>
      <c r="I194" s="13" t="s">
        <v>303</v>
      </c>
      <c r="J194" s="13" t="s">
        <v>81</v>
      </c>
      <c r="M194" s="13">
        <v>0</v>
      </c>
    </row>
    <row r="195" spans="1:13" x14ac:dyDescent="0.25">
      <c r="A195" s="14">
        <v>1</v>
      </c>
      <c r="B195" s="13" t="s">
        <v>461</v>
      </c>
      <c r="C195" s="13" t="s">
        <v>5</v>
      </c>
      <c r="D195" s="13" t="s">
        <v>34</v>
      </c>
      <c r="E195" s="15">
        <v>45250</v>
      </c>
      <c r="F195" s="15">
        <v>45278</v>
      </c>
      <c r="G195" s="13" t="s">
        <v>23</v>
      </c>
      <c r="H195" s="13" t="s">
        <v>83</v>
      </c>
      <c r="I195" s="13" t="s">
        <v>462</v>
      </c>
      <c r="J195" s="13" t="s">
        <v>81</v>
      </c>
      <c r="M195" s="13">
        <v>0</v>
      </c>
    </row>
    <row r="196" spans="1:13" x14ac:dyDescent="0.25">
      <c r="A196" s="14">
        <v>1</v>
      </c>
      <c r="B196" s="13" t="s">
        <v>463</v>
      </c>
      <c r="C196" s="13" t="s">
        <v>5</v>
      </c>
      <c r="D196" s="13" t="s">
        <v>34</v>
      </c>
      <c r="E196" s="15">
        <v>45250</v>
      </c>
      <c r="F196" s="15">
        <v>45278</v>
      </c>
      <c r="G196" s="13" t="s">
        <v>23</v>
      </c>
      <c r="H196" s="13" t="s">
        <v>83</v>
      </c>
      <c r="I196" s="13" t="s">
        <v>464</v>
      </c>
      <c r="J196" s="13" t="s">
        <v>81</v>
      </c>
      <c r="M196" s="13">
        <v>0</v>
      </c>
    </row>
    <row r="197" spans="1:13" x14ac:dyDescent="0.25">
      <c r="A197" s="14">
        <v>1</v>
      </c>
      <c r="B197" s="13" t="s">
        <v>465</v>
      </c>
      <c r="C197" s="13" t="s">
        <v>5</v>
      </c>
      <c r="D197" s="13" t="s">
        <v>34</v>
      </c>
      <c r="E197" s="15">
        <v>45250</v>
      </c>
      <c r="F197" s="15">
        <v>45278</v>
      </c>
      <c r="G197" s="13" t="s">
        <v>23</v>
      </c>
      <c r="H197" s="13" t="s">
        <v>83</v>
      </c>
      <c r="I197" s="13" t="s">
        <v>466</v>
      </c>
      <c r="J197" s="13" t="s">
        <v>81</v>
      </c>
      <c r="M197" s="13">
        <v>0</v>
      </c>
    </row>
    <row r="198" spans="1:13" x14ac:dyDescent="0.25">
      <c r="A198" s="14">
        <v>1</v>
      </c>
      <c r="B198" s="13" t="s">
        <v>467</v>
      </c>
      <c r="C198" s="13" t="s">
        <v>5</v>
      </c>
      <c r="D198" s="13" t="s">
        <v>192</v>
      </c>
      <c r="E198" s="15">
        <v>45204</v>
      </c>
      <c r="F198" s="15">
        <v>45205</v>
      </c>
      <c r="G198" s="13" t="s">
        <v>23</v>
      </c>
      <c r="H198" s="13" t="s">
        <v>468</v>
      </c>
      <c r="I198" s="13" t="s">
        <v>80</v>
      </c>
      <c r="J198" s="13" t="s">
        <v>469</v>
      </c>
      <c r="K198" s="13" t="s">
        <v>470</v>
      </c>
    </row>
    <row r="199" spans="1:13" x14ac:dyDescent="0.25">
      <c r="A199" s="14">
        <v>1</v>
      </c>
      <c r="B199" s="13" t="s">
        <v>471</v>
      </c>
      <c r="C199" s="13" t="s">
        <v>5</v>
      </c>
      <c r="D199" s="13" t="s">
        <v>192</v>
      </c>
      <c r="E199" s="15">
        <v>45244</v>
      </c>
      <c r="F199" s="15">
        <v>45244</v>
      </c>
      <c r="G199" s="13" t="s">
        <v>23</v>
      </c>
      <c r="H199" s="13" t="s">
        <v>472</v>
      </c>
      <c r="I199" s="13" t="s">
        <v>473</v>
      </c>
      <c r="J199" s="13" t="s">
        <v>474</v>
      </c>
      <c r="K199" s="13" t="s">
        <v>31</v>
      </c>
    </row>
    <row r="200" spans="1:13" x14ac:dyDescent="0.25">
      <c r="A200" s="14">
        <v>1</v>
      </c>
      <c r="B200" s="13" t="s">
        <v>475</v>
      </c>
      <c r="C200" s="13" t="s">
        <v>5</v>
      </c>
      <c r="D200" s="13" t="s">
        <v>192</v>
      </c>
      <c r="E200" s="15">
        <v>45245</v>
      </c>
      <c r="F200" s="15">
        <v>45245</v>
      </c>
      <c r="G200" s="13" t="s">
        <v>23</v>
      </c>
      <c r="H200" s="13" t="s">
        <v>476</v>
      </c>
      <c r="I200" s="13" t="s">
        <v>477</v>
      </c>
      <c r="J200" s="13" t="s">
        <v>478</v>
      </c>
      <c r="K200" s="13" t="s">
        <v>479</v>
      </c>
    </row>
    <row r="201" spans="1:13" x14ac:dyDescent="0.25">
      <c r="A201" s="14">
        <v>1</v>
      </c>
      <c r="B201" s="13" t="s">
        <v>480</v>
      </c>
      <c r="C201" s="13" t="s">
        <v>5</v>
      </c>
      <c r="D201" s="13" t="s">
        <v>192</v>
      </c>
      <c r="E201" s="15">
        <v>45245</v>
      </c>
      <c r="F201" s="15">
        <v>45245</v>
      </c>
      <c r="G201" s="13" t="s">
        <v>23</v>
      </c>
      <c r="H201" s="13" t="s">
        <v>481</v>
      </c>
      <c r="I201" s="13" t="s">
        <v>477</v>
      </c>
      <c r="J201" s="13" t="s">
        <v>482</v>
      </c>
      <c r="K201" s="13" t="s">
        <v>479</v>
      </c>
    </row>
    <row r="202" spans="1:13" x14ac:dyDescent="0.25">
      <c r="A202" s="14">
        <v>1</v>
      </c>
      <c r="B202" s="13" t="s">
        <v>483</v>
      </c>
      <c r="C202" s="13" t="s">
        <v>5</v>
      </c>
      <c r="D202" s="13" t="s">
        <v>192</v>
      </c>
      <c r="E202" s="15">
        <v>45245</v>
      </c>
      <c r="F202" s="15">
        <v>45245</v>
      </c>
      <c r="G202" s="13" t="s">
        <v>23</v>
      </c>
      <c r="H202" s="13" t="s">
        <v>484</v>
      </c>
      <c r="I202" s="13" t="s">
        <v>29</v>
      </c>
      <c r="J202" s="13" t="s">
        <v>485</v>
      </c>
      <c r="K202" s="13" t="s">
        <v>479</v>
      </c>
    </row>
    <row r="203" spans="1:13" x14ac:dyDescent="0.25">
      <c r="A203" s="14">
        <v>1</v>
      </c>
      <c r="B203" s="13" t="s">
        <v>486</v>
      </c>
      <c r="C203" s="13" t="s">
        <v>5</v>
      </c>
      <c r="D203" s="13" t="s">
        <v>192</v>
      </c>
      <c r="E203" s="15">
        <v>45245</v>
      </c>
      <c r="F203" s="15">
        <v>45245</v>
      </c>
      <c r="G203" s="13" t="s">
        <v>23</v>
      </c>
      <c r="H203" s="13" t="s">
        <v>487</v>
      </c>
      <c r="I203" s="13" t="s">
        <v>29</v>
      </c>
      <c r="J203" s="13" t="s">
        <v>488</v>
      </c>
      <c r="K203" s="13" t="s">
        <v>479</v>
      </c>
    </row>
    <row r="204" spans="1:13" x14ac:dyDescent="0.25">
      <c r="A204" s="14">
        <v>1</v>
      </c>
      <c r="B204" s="13" t="s">
        <v>489</v>
      </c>
      <c r="C204" s="13" t="s">
        <v>5</v>
      </c>
      <c r="D204" s="13" t="s">
        <v>192</v>
      </c>
      <c r="E204" s="15">
        <v>45245</v>
      </c>
      <c r="F204" s="15">
        <v>45245</v>
      </c>
      <c r="G204" s="13" t="s">
        <v>23</v>
      </c>
      <c r="H204" s="13" t="s">
        <v>490</v>
      </c>
      <c r="I204" s="13" t="s">
        <v>29</v>
      </c>
      <c r="J204" s="13" t="s">
        <v>491</v>
      </c>
      <c r="K204" s="13" t="s">
        <v>479</v>
      </c>
    </row>
    <row r="205" spans="1:13" x14ac:dyDescent="0.25">
      <c r="A205" s="14">
        <v>1</v>
      </c>
      <c r="B205" s="13" t="s">
        <v>492</v>
      </c>
      <c r="C205" s="13" t="s">
        <v>5</v>
      </c>
      <c r="D205" s="13" t="s">
        <v>192</v>
      </c>
      <c r="E205" s="15">
        <v>45245</v>
      </c>
      <c r="F205" s="15">
        <v>45245</v>
      </c>
      <c r="G205" s="13" t="s">
        <v>23</v>
      </c>
      <c r="H205" s="13" t="s">
        <v>493</v>
      </c>
      <c r="I205" s="13" t="s">
        <v>494</v>
      </c>
      <c r="J205" s="13" t="s">
        <v>495</v>
      </c>
      <c r="K205" s="13" t="s">
        <v>479</v>
      </c>
    </row>
    <row r="206" spans="1:13" x14ac:dyDescent="0.25">
      <c r="A206" s="14">
        <v>1</v>
      </c>
      <c r="B206" s="13" t="s">
        <v>496</v>
      </c>
      <c r="C206" s="13" t="s">
        <v>5</v>
      </c>
      <c r="D206" s="13" t="s">
        <v>192</v>
      </c>
      <c r="E206" s="15">
        <v>45245</v>
      </c>
      <c r="F206" s="15">
        <v>45245</v>
      </c>
      <c r="G206" s="13" t="s">
        <v>23</v>
      </c>
      <c r="H206" s="13" t="s">
        <v>497</v>
      </c>
      <c r="I206" s="13" t="s">
        <v>80</v>
      </c>
      <c r="J206" s="13" t="s">
        <v>498</v>
      </c>
      <c r="K206" s="13" t="s">
        <v>479</v>
      </c>
    </row>
    <row r="207" spans="1:13" x14ac:dyDescent="0.25">
      <c r="A207" s="14">
        <v>1</v>
      </c>
      <c r="B207" s="13" t="s">
        <v>499</v>
      </c>
      <c r="C207" s="13" t="s">
        <v>5</v>
      </c>
      <c r="D207" s="13" t="s">
        <v>192</v>
      </c>
      <c r="E207" s="15">
        <v>45245</v>
      </c>
      <c r="F207" s="15">
        <v>45245</v>
      </c>
      <c r="G207" s="13" t="s">
        <v>23</v>
      </c>
      <c r="H207" s="13" t="s">
        <v>500</v>
      </c>
      <c r="I207" s="13" t="s">
        <v>80</v>
      </c>
      <c r="J207" s="13" t="s">
        <v>501</v>
      </c>
      <c r="K207" s="13" t="s">
        <v>479</v>
      </c>
    </row>
    <row r="208" spans="1:13" x14ac:dyDescent="0.25">
      <c r="A208" s="14">
        <v>1</v>
      </c>
      <c r="B208" s="13" t="s">
        <v>502</v>
      </c>
      <c r="C208" s="13" t="s">
        <v>5</v>
      </c>
      <c r="D208" s="13" t="s">
        <v>192</v>
      </c>
      <c r="E208" s="15">
        <v>45245</v>
      </c>
      <c r="F208" s="15">
        <v>45245</v>
      </c>
      <c r="G208" s="13" t="s">
        <v>23</v>
      </c>
      <c r="H208" s="13" t="s">
        <v>503</v>
      </c>
      <c r="I208" s="13" t="s">
        <v>80</v>
      </c>
      <c r="J208" s="13" t="s">
        <v>504</v>
      </c>
      <c r="K208" s="13" t="s">
        <v>479</v>
      </c>
    </row>
    <row r="209" spans="1:14" x14ac:dyDescent="0.25">
      <c r="A209" s="14">
        <v>1</v>
      </c>
      <c r="B209" s="13" t="s">
        <v>505</v>
      </c>
      <c r="C209" s="13" t="s">
        <v>5</v>
      </c>
      <c r="D209" s="13" t="s">
        <v>192</v>
      </c>
      <c r="E209" s="15">
        <v>45245</v>
      </c>
      <c r="F209" s="15">
        <v>45245</v>
      </c>
      <c r="G209" s="13" t="s">
        <v>23</v>
      </c>
      <c r="H209" s="13" t="s">
        <v>506</v>
      </c>
      <c r="I209" s="13" t="s">
        <v>80</v>
      </c>
      <c r="J209" s="13" t="s">
        <v>507</v>
      </c>
      <c r="K209" s="13" t="s">
        <v>479</v>
      </c>
    </row>
    <row r="210" spans="1:14" x14ac:dyDescent="0.25">
      <c r="A210" s="14">
        <v>1</v>
      </c>
      <c r="B210" s="13" t="s">
        <v>508</v>
      </c>
      <c r="C210" s="13" t="s">
        <v>5</v>
      </c>
      <c r="D210" s="13" t="s">
        <v>192</v>
      </c>
      <c r="E210" s="15">
        <v>45246</v>
      </c>
      <c r="F210" s="15">
        <v>45246</v>
      </c>
      <c r="G210" s="13" t="s">
        <v>23</v>
      </c>
      <c r="H210" s="13" t="s">
        <v>509</v>
      </c>
      <c r="I210" s="13" t="s">
        <v>477</v>
      </c>
      <c r="J210" s="13" t="s">
        <v>510</v>
      </c>
      <c r="K210" s="13" t="s">
        <v>479</v>
      </c>
    </row>
    <row r="211" spans="1:14" ht="84" x14ac:dyDescent="0.25">
      <c r="A211" s="14">
        <v>1</v>
      </c>
      <c r="B211" s="13" t="s">
        <v>511</v>
      </c>
      <c r="C211" s="13" t="s">
        <v>1</v>
      </c>
      <c r="D211" s="13" t="s">
        <v>192</v>
      </c>
      <c r="E211" s="15">
        <v>45113</v>
      </c>
      <c r="F211" s="15">
        <v>45169</v>
      </c>
      <c r="G211" s="13" t="s">
        <v>512</v>
      </c>
      <c r="H211" s="13" t="s">
        <v>513</v>
      </c>
      <c r="I211" s="13" t="s">
        <v>514</v>
      </c>
      <c r="J211" s="13" t="s">
        <v>515</v>
      </c>
      <c r="K211" s="13" t="s">
        <v>516</v>
      </c>
      <c r="M211" s="13">
        <v>0</v>
      </c>
      <c r="N211" s="12" t="s">
        <v>517</v>
      </c>
    </row>
    <row r="212" spans="1:14" ht="24" x14ac:dyDescent="0.25">
      <c r="A212" s="14">
        <v>1</v>
      </c>
      <c r="B212" s="13" t="s">
        <v>518</v>
      </c>
      <c r="C212" s="13" t="s">
        <v>1</v>
      </c>
      <c r="D212" s="13" t="s">
        <v>192</v>
      </c>
      <c r="E212" s="15">
        <v>45210</v>
      </c>
      <c r="F212" s="15">
        <v>45243</v>
      </c>
      <c r="G212" s="13" t="s">
        <v>512</v>
      </c>
      <c r="H212" s="13" t="s">
        <v>519</v>
      </c>
      <c r="I212" s="13" t="s">
        <v>29</v>
      </c>
      <c r="J212" s="13" t="s">
        <v>520</v>
      </c>
      <c r="K212" s="13" t="s">
        <v>516</v>
      </c>
      <c r="L212" s="13" t="s">
        <v>521</v>
      </c>
      <c r="M212" s="13">
        <v>0</v>
      </c>
      <c r="N212" s="12" t="s">
        <v>522</v>
      </c>
    </row>
    <row r="213" spans="1:14" x14ac:dyDescent="0.25">
      <c r="A213" s="14">
        <v>1</v>
      </c>
      <c r="B213" s="13" t="s">
        <v>523</v>
      </c>
      <c r="C213" s="13" t="s">
        <v>1</v>
      </c>
      <c r="D213" s="13" t="s">
        <v>192</v>
      </c>
      <c r="E213" s="15">
        <v>45239</v>
      </c>
      <c r="F213" s="15">
        <v>45252</v>
      </c>
      <c r="G213" s="13" t="s">
        <v>512</v>
      </c>
      <c r="H213" s="13" t="s">
        <v>524</v>
      </c>
      <c r="I213" s="13" t="s">
        <v>153</v>
      </c>
      <c r="J213" s="13" t="s">
        <v>525</v>
      </c>
      <c r="K213" s="13" t="s">
        <v>219</v>
      </c>
      <c r="M213" s="13">
        <v>0</v>
      </c>
    </row>
    <row r="214" spans="1:14" ht="24" x14ac:dyDescent="0.25">
      <c r="A214" s="14">
        <v>1</v>
      </c>
      <c r="B214" s="13" t="s">
        <v>526</v>
      </c>
      <c r="C214" s="13" t="s">
        <v>5</v>
      </c>
      <c r="D214" s="13" t="s">
        <v>192</v>
      </c>
      <c r="E214" s="15">
        <v>45225</v>
      </c>
      <c r="F214" s="15">
        <v>45226</v>
      </c>
      <c r="G214" s="13" t="s">
        <v>512</v>
      </c>
      <c r="H214" s="13" t="s">
        <v>527</v>
      </c>
      <c r="I214" s="13" t="s">
        <v>384</v>
      </c>
      <c r="J214" s="13" t="s">
        <v>528</v>
      </c>
      <c r="K214" s="13" t="s">
        <v>529</v>
      </c>
      <c r="M214" s="13">
        <v>0</v>
      </c>
      <c r="N214" s="12" t="s">
        <v>530</v>
      </c>
    </row>
    <row r="215" spans="1:14" ht="24" x14ac:dyDescent="0.25">
      <c r="A215" s="14">
        <v>1</v>
      </c>
      <c r="B215" s="13" t="s">
        <v>531</v>
      </c>
      <c r="C215" s="13" t="s">
        <v>1</v>
      </c>
      <c r="D215" s="13" t="s">
        <v>192</v>
      </c>
      <c r="E215" s="15">
        <v>45231</v>
      </c>
      <c r="F215" s="15">
        <v>45238</v>
      </c>
      <c r="G215" s="13" t="s">
        <v>532</v>
      </c>
      <c r="H215" s="13" t="s">
        <v>533</v>
      </c>
      <c r="I215" s="13" t="s">
        <v>74</v>
      </c>
      <c r="J215" s="13" t="s">
        <v>534</v>
      </c>
      <c r="K215" s="13" t="s">
        <v>219</v>
      </c>
      <c r="M215" s="13">
        <v>0</v>
      </c>
      <c r="N215" s="12" t="s">
        <v>535</v>
      </c>
    </row>
    <row r="216" spans="1:14" x14ac:dyDescent="0.25">
      <c r="A216" s="14">
        <v>1</v>
      </c>
      <c r="B216" s="13" t="s">
        <v>536</v>
      </c>
      <c r="C216" s="13" t="s">
        <v>5</v>
      </c>
      <c r="D216" s="13" t="s">
        <v>34</v>
      </c>
      <c r="E216" s="15">
        <v>45217</v>
      </c>
      <c r="F216" s="15">
        <v>45218</v>
      </c>
      <c r="G216" s="13" t="s">
        <v>532</v>
      </c>
      <c r="H216" s="13" t="s">
        <v>537</v>
      </c>
      <c r="I216" s="13" t="s">
        <v>538</v>
      </c>
      <c r="J216" s="13" t="s">
        <v>539</v>
      </c>
      <c r="K216" s="13" t="s">
        <v>540</v>
      </c>
    </row>
    <row r="217" spans="1:14" ht="120" x14ac:dyDescent="0.25">
      <c r="A217" s="14">
        <v>1</v>
      </c>
      <c r="B217" s="13" t="s">
        <v>541</v>
      </c>
      <c r="C217" s="13" t="s">
        <v>5</v>
      </c>
      <c r="D217" s="13" t="s">
        <v>192</v>
      </c>
      <c r="E217" s="15">
        <v>45113</v>
      </c>
      <c r="F217" s="15">
        <v>45113</v>
      </c>
      <c r="G217" s="13" t="s">
        <v>532</v>
      </c>
      <c r="H217" s="13" t="s">
        <v>542</v>
      </c>
      <c r="I217" s="13" t="s">
        <v>456</v>
      </c>
      <c r="J217" s="13" t="s">
        <v>543</v>
      </c>
      <c r="K217" s="13" t="s">
        <v>540</v>
      </c>
      <c r="L217" s="13" t="s">
        <v>544</v>
      </c>
      <c r="M217" s="13">
        <v>0</v>
      </c>
      <c r="N217" s="12" t="s">
        <v>545</v>
      </c>
    </row>
    <row r="218" spans="1:14" x14ac:dyDescent="0.25">
      <c r="A218" s="14">
        <v>1</v>
      </c>
      <c r="B218" s="13" t="s">
        <v>546</v>
      </c>
      <c r="C218" s="13" t="s">
        <v>5</v>
      </c>
      <c r="D218" s="13" t="s">
        <v>547</v>
      </c>
      <c r="E218" s="15">
        <v>45141</v>
      </c>
      <c r="F218" s="15">
        <v>45141</v>
      </c>
      <c r="G218" s="13" t="s">
        <v>532</v>
      </c>
      <c r="H218" s="13" t="s">
        <v>548</v>
      </c>
      <c r="I218" s="13" t="s">
        <v>382</v>
      </c>
      <c r="J218" s="13" t="s">
        <v>549</v>
      </c>
      <c r="K218" s="13" t="s">
        <v>540</v>
      </c>
      <c r="M218" s="13">
        <v>0</v>
      </c>
    </row>
  </sheetData>
  <autoFilter ref="A2:N500" xr:uid="{E95F4E0E-5A27-4E67-BF36-A1AE5674FA6C}"/>
  <pageMargins left="0.7" right="0.7" top="0.75" bottom="0.75" header="0.3" footer="0.3"/>
  <pageSetup orientation="portrait" horizontalDpi="4294967292"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6E3617-8CB7-49A7-9E27-44CFE529484A}">
  <dimension ref="A1:G39"/>
  <sheetViews>
    <sheetView showGridLines="0" workbookViewId="0">
      <selection sqref="A1:G1"/>
    </sheetView>
  </sheetViews>
  <sheetFormatPr defaultColWidth="9.140625" defaultRowHeight="15" x14ac:dyDescent="0.25"/>
  <cols>
    <col min="1" max="1" width="9.140625" style="3"/>
    <col min="2" max="7" width="13.7109375" style="4" customWidth="1"/>
    <col min="8" max="16384" width="9.140625" style="4"/>
  </cols>
  <sheetData>
    <row r="1" ht="26.25">
      <c r="A1" s="48" t="inlineStr">
        <is>
          <t>DIRECTIONS</t>
        </is>
      </c>
      <c r="B1" s="49"/>
      <c r="C1" s="49"/>
      <c r="D1" s="49"/>
      <c r="E1" s="49"/>
      <c r="F1" s="49"/>
      <c r="G1" s="50"/>
    </row>
    <row r="2" ht="9" customHeight="1"/>
    <row r="3">
      <c r="A3" s="26">
        <v>1</v>
      </c>
      <c r="B3" s="19" t="inlineStr">
        <is>
          <t>Clear the Sheet1 tab: click the Sheet1 tab, press Ctrl+A, then press Delete.</t>
        </is>
      </c>
      <c r="C3" s="19"/>
      <c r="D3" s="19"/>
      <c r="E3" s="19"/>
      <c r="F3" s="19"/>
      <c r="G3" s="20"/>
    </row>
    <row r="4" ht="9" customHeight="1"/>
    <row r="5">
      <c r="A5" s="45">
        <v>2</v>
      </c>
      <c r="B5" s="27" t="inlineStr">
        <is>
          <t>Download this week's data from TabWare:</t>
        </is>
      </c>
      <c r="C5" s="21"/>
      <c r="D5" s="21"/>
      <c r="E5" s="21"/>
      <c r="F5" s="21"/>
      <c r="G5" s="22"/>
    </row>
    <row r="6">
      <c r="A6" s="46"/>
      <c r="B6" s="28"/>
      <c r="C6" s="4" t="inlineStr">
        <is>
          <t>TabWare</t>
        </is>
      </c>
      <c r="G6" s="23"/>
    </row>
    <row r="7">
      <c r="A7" s="46"/>
      <c r="B7" s="28"/>
      <c r="C7" s="4" t="inlineStr">
        <is>
          <t>Work Order Search</t>
        </is>
      </c>
      <c r="G7" s="23"/>
    </row>
    <row r="8">
      <c r="A8" s="46"/>
      <c r="B8" s="28"/>
      <c r="C8" s="4" t="inlineStr">
        <is>
          <t>Query: All Open Work Orders &amp; PMs</t>
        </is>
      </c>
      <c r="G8" s="23"/>
    </row>
    <row r="9">
      <c r="A9" s="46"/>
      <c r="B9" s="28"/>
      <c r="C9" s="4" t="inlineStr">
        <is>
          <t>Search</t>
        </is>
      </c>
      <c r="G9" s="23"/>
    </row>
    <row r="10">
      <c r="A10" s="46"/>
      <c r="B10" s="28"/>
      <c r="C10" s="4" t="inlineStr">
        <is>
          <t>File</t>
        </is>
      </c>
      <c r="G10" s="23"/>
    </row>
    <row r="11">
      <c r="A11" s="46"/>
      <c r="B11" s="28"/>
      <c r="C11" s="4" t="inlineStr">
        <is>
          <t>Save As</t>
        </is>
      </c>
      <c r="G11" s="23"/>
    </row>
    <row r="12">
      <c r="A12" s="46"/>
      <c r="B12" s="28"/>
      <c r="C12" s="4" t="inlineStr">
        <is>
          <t>Save In: Downloads</t>
        </is>
      </c>
      <c r="G12" s="23"/>
    </row>
    <row r="13">
      <c r="A13" s="46"/>
      <c r="B13" s="28"/>
      <c r="C13" s="4" t="inlineStr">
        <is>
          <t>File type: Excel 2007</t>
        </is>
      </c>
      <c r="G13" s="23"/>
    </row>
    <row r="14">
      <c r="A14" s="47"/>
      <c r="B14" s="29"/>
      <c r="C14" s="24" t="inlineStr">
        <is>
          <t>Save</t>
        </is>
      </c>
      <c r="D14" s="24"/>
      <c r="E14" s="24"/>
      <c r="F14" s="24"/>
      <c r="G14" s="25"/>
    </row>
    <row r="15" ht="9" customHeight="1"/>
    <row r="16">
      <c r="A16" s="26">
        <v>3</v>
      </c>
      <c r="B16" s="19" t="inlineStr">
        <is>
          <t>Open the downloaded file.</t>
        </is>
      </c>
      <c r="C16" s="19"/>
      <c r="D16" s="19"/>
      <c r="E16" s="19"/>
      <c r="F16" s="19"/>
      <c r="G16" s="20"/>
    </row>
    <row r="17" ht="9" customHeight="1"/>
    <row r="18">
      <c r="A18" s="45">
        <v>4</v>
      </c>
      <c r="B18" s="27" t="inlineStr">
        <is>
          <t>Put the new data on the Sheet1 tab of this file:</t>
        </is>
      </c>
      <c r="C18" s="21"/>
      <c r="D18" s="21"/>
      <c r="E18" s="21"/>
      <c r="F18" s="21"/>
      <c r="G18" s="22"/>
    </row>
    <row r="19">
      <c r="A19" s="46"/>
      <c r="B19" s="28"/>
      <c r="C19" s="4" t="inlineStr">
        <is>
          <t>In the downloaded file press Ctrl+A, then Ctrl+C.</t>
        </is>
      </c>
      <c r="G19" s="23"/>
    </row>
    <row r="20">
      <c r="A20" s="46"/>
      <c r="B20" s="28"/>
      <c r="C20" s="4" t="inlineStr">
        <is>
          <t>On the Sheet1 tab click cell A1 and paste as values only</t>
        </is>
      </c>
      <c r="G20" s="23"/>
    </row>
    <row r="21">
      <c r="A21" s="47"/>
      <c r="B21" s="29"/>
      <c r="C21" s="24" t="inlineStr">
        <is>
          <t>(right-click &gt; Paste Values). Keep the header row in row 1.</t>
        </is>
      </c>
      <c r="D21" s="24"/>
      <c r="E21" s="24"/>
      <c r="F21" s="24"/>
      <c r="G21" s="25"/>
    </row>
    <row r="22" ht="9" customHeight="1"/>
    <row r="23">
      <c r="A23" s="45">
        <v>5</v>
      </c>
      <c r="B23" s="27" t="inlineStr">
        <is>
          <t>Check the Totals tab:</t>
        </is>
      </c>
      <c r="C23" s="21"/>
      <c r="D23" s="21"/>
      <c r="E23" s="21"/>
      <c r="F23" s="21"/>
      <c r="G23" s="22"/>
    </row>
    <row r="24">
      <c r="A24" s="46"/>
      <c r="B24" s="28"/>
      <c r="C24" s="4" t="inlineStr">
        <is>
          <t>The counts update on their own from Sheet1. There is nothing to run.</t>
        </is>
      </c>
      <c r="G24" s="23"/>
    </row>
    <row r="25">
      <c r="A25" s="46"/>
      <c r="B25" s="28"/>
      <c r="C25" s="4" t="inlineStr">
        <is>
          <t>Click the Refresh button to stamp today's date in B1, or type the date.</t>
        </is>
      </c>
      <c r="G25" s="23"/>
    </row>
    <row r="26">
      <c r="A26" s="46"/>
      <c r="B26" s="28"/>
      <c r="C26" s="4" t="inlineStr">
        <is>
          <t>The NOT COUNTED line should read 0. If it does not, check the</t>
        </is>
      </c>
      <c r="G26" s="23"/>
    </row>
    <row r="27">
      <c r="A27" s="47"/>
      <c r="B27" s="29"/>
      <c r="C27" s="24" t="inlineStr">
        <is>
          <t>Area Description column on Sheet1: only Burnsville and Lakeville count.</t>
        </is>
      </c>
      <c r="D27" s="24"/>
      <c r="E27" s="24"/>
      <c r="F27" s="24"/>
      <c r="G27" s="25"/>
    </row>
    <row r="28" ht="9" customHeight="1"/>
    <row r="29">
      <c r="A29" s="45">
        <v>6</v>
      </c>
      <c r="B29" s="27" t="inlineStr">
        <is>
          <t>Add this week to the Weekly History tab:</t>
        </is>
      </c>
      <c r="C29" s="21"/>
      <c r="D29" s="21"/>
      <c r="E29" s="21"/>
      <c r="F29" s="21"/>
      <c r="G29" s="22"/>
    </row>
    <row r="30">
      <c r="A30" s="46"/>
      <c r="B30" s="28"/>
      <c r="C30" s="4" t="inlineStr">
        <is>
          <t>Type the date and the four counts from Totals (repair tickets and</t>
        </is>
      </c>
      <c r="G30" s="23"/>
    </row>
    <row r="31">
      <c r="A31" s="46"/>
      <c r="B31" s="28"/>
      <c r="C31" s="4" t="inlineStr">
        <is>
          <t>PMs for each plant) in the next empty row of the table.</t>
        </is>
      </c>
      <c r="G31" s="23"/>
    </row>
    <row r="32">
      <c r="A32" s="47"/>
      <c r="B32" s="29"/>
      <c r="C32" s="24" t="inlineStr">
        <is>
          <t>The totals, the change vs last week, and the chart fill in on their own.</t>
        </is>
      </c>
      <c r="D32" s="24"/>
      <c r="E32" s="24"/>
      <c r="F32" s="24"/>
      <c r="G32" s="25"/>
    </row>
    <row r="33" ht="9" customHeight="1"/>
    <row r="34">
      <c r="A34" s="26">
        <v>7</v>
      </c>
      <c r="B34" s="19" t="inlineStr">
        <is>
          <t>Save the file.</t>
        </is>
      </c>
      <c r="C34" s="19"/>
      <c r="D34" s="19"/>
      <c r="E34" s="19"/>
      <c r="F34" s="19"/>
      <c r="G34" s="20"/>
    </row>
    <row r="35" ht="9" customHeight="1"/>
    <row r="36">
      <c r="A36" s="45"/>
      <c r="B36" s="27" t="inlineStr">
        <is>
          <t>Notes:</t>
        </is>
      </c>
      <c r="C36" s="21"/>
      <c r="D36" s="21"/>
      <c r="E36" s="21"/>
      <c r="F36" s="21"/>
      <c r="G36" s="22"/>
    </row>
    <row r="37">
      <c r="A37" s="46"/>
      <c r="B37" s="28"/>
      <c r="C37" s="4" t="inlineStr">
        <is>
          <t>Refresh runs a macro. If Excel blocks it, right-click the file in File Explorer,</t>
        </is>
      </c>
      <c r="G37" s="23"/>
    </row>
    <row r="38">
      <c r="A38" s="46"/>
      <c r="B38" s="28"/>
      <c r="C38" s="4" t="inlineStr">
        <is>
          <t>choose Properties, tick Unblock, and reopen it. The counts work without macros.</t>
        </is>
      </c>
      <c r="G38" s="23"/>
    </row>
    <row r="39">
      <c r="A39" s="47"/>
      <c r="B39" s="29"/>
      <c r="C39" s="24" t="inlineStr">
        <is>
          <t>The Refresh macro also copies Sheet1 to the hidden Calculation tab.</t>
        </is>
      </c>
      <c r="D39" s="24"/>
      <c r="E39" s="24"/>
      <c r="F39" s="24"/>
      <c r="G39" s="25"/>
    </row>
  </sheetData>
  <mergeCells count="6">
    <mergeCell ref="A1:G1"/>
    <mergeCell ref="A5:A14"/>
    <mergeCell ref="A18:A21"/>
    <mergeCell ref="A23:A27"/>
    <mergeCell ref="A29:A32"/>
    <mergeCell ref="A36:A39"/>
  </mergeCells>
  <pageMargins left="0.7" right="0.7" top="0.75" bottom="0.75" header="0.3" footer="0.3"/>
  <pageSetup orientation="portrait" horizontalDpi="4294967292" verticalDpi="1200" r:id="rId1"/>
</worksheet>
</file>

<file path=xl/worksheets/sheet5.xml><?xml version="1.0" encoding="utf-8"?>
<worksheet xmlns="http://schemas.openxmlformats.org/spreadsheetml/2006/main" xmlns:r="http://schemas.openxmlformats.org/officeDocument/2006/relationships">
  <sheetPr>
    <tabColor rgb="FFFFC000"/>
  </sheetPr>
  <dimension ref="A1:M1"/>
  <sheetViews>
    <sheetView workbookViewId="0">
      <pane ySplit="1" topLeftCell="A2" activePane="bottomLeft" state="frozen"/>
      <selection pane="bottomLeft" activeCell="A2" sqref="A2"/>
    </sheetView>
  </sheetViews>
  <sheetFormatPr defaultRowHeight="15"/>
  <cols>
    <col min="1" max="1" width="9.85546875" customWidth="1"/>
    <col min="2" max="2" width="13.42578125" customWidth="1"/>
    <col min="3" max="3" width="9.85546875" customWidth="1"/>
    <col min="4" max="4" width="10.28515625" customWidth="1"/>
    <col min="5" max="5" width="13.7109375" customWidth="1"/>
    <col min="6" max="6" width="13.42578125" customWidth="1"/>
    <col min="7" max="7" width="25.140625" customWidth="1"/>
    <col min="8" max="8" width="25.28515625" customWidth="1"/>
    <col min="9" max="9" width="29.42578125" customWidth="1"/>
    <col min="10" max="10" width="12.42578125" customWidth="1"/>
    <col min="11" max="11" width="11.28515625" customWidth="1"/>
    <col min="12" max="12" width="8.85546875" customWidth="1"/>
    <col min="13" max="13" width="64.28515625" customWidth="1"/>
  </cols>
  <sheetData>
    <row r="1" ht="45" customHeight="1">
      <c r="A1" s="2" t="inlineStr">
        <is>
          <t>Work Order #</t>
        </is>
      </c>
      <c r="B1" s="2" t="inlineStr">
        <is>
          <t>Area Description</t>
        </is>
      </c>
      <c r="C1" s="2" t="inlineStr">
        <is>
          <t>Priority</t>
        </is>
      </c>
      <c r="D1" s="2" t="inlineStr">
        <is>
          <t>Entered Date</t>
        </is>
      </c>
      <c r="E1" s="2" t="inlineStr">
        <is>
          <t>Requested Completion</t>
        </is>
      </c>
      <c r="F1" s="2" t="inlineStr">
        <is>
          <t>Status Description</t>
        </is>
      </c>
      <c r="G1" s="2" t="inlineStr">
        <is>
          <t>Work Order Description</t>
        </is>
      </c>
      <c r="H1" s="2" t="inlineStr">
        <is>
          <t>Equipment Description</t>
        </is>
      </c>
      <c r="I1" s="2" t="inlineStr">
        <is>
          <t>Long Description</t>
        </is>
      </c>
      <c r="J1" s="2" t="inlineStr">
        <is>
          <t>Requestor</t>
        </is>
      </c>
      <c r="K1" s="2" t="inlineStr">
        <is>
          <t>Assigned To Name</t>
        </is>
      </c>
      <c r="L1" s="2" t="inlineStr">
        <is>
          <t>Craft Actual Hours</t>
        </is>
      </c>
      <c r="M1" s="2" t="inlineStr">
        <is>
          <t>Completion Remarks</t>
        </is>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SyracuseOfficeCustomData>{"createMode":"plain_doc","forceRefresh":"0"}</SyracuseOfficeCustomData>
</file>

<file path=customXml/itemProps1.xml><?xml version="1.0" encoding="utf-8"?>
<ds:datastoreItem xmlns:ds="http://schemas.openxmlformats.org/officeDocument/2006/customXml" ds:itemID="{02036B19-3590-4F2A-9514-5DD87AFCDB97}">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4</vt:i4>
      </vt:variant>
    </vt:vector>
  </HeadingPairs>
  <TitlesOfParts>
    <vt:vector size="9" baseType="lpstr">
      <vt:lpstr>Totals</vt:lpstr>
      <vt:lpstr>Weekly History</vt:lpstr>
      <vt:lpstr>Sheet1</vt:lpstr>
      <vt:lpstr>Calculation</vt:lpstr>
      <vt:lpstr>Directions</vt:lpstr>
      <vt:lpstr>'Weekly History'!chart_BV</vt:lpstr>
      <vt:lpstr>'Weekly History'!chart_CO</vt:lpstr>
      <vt:lpstr>'Weekly History'!chart_LV</vt:lpstr>
      <vt:lpstr>'Weekly History'!chart_Week</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Kristine Michael</dc:creator>
  <cp:keywords/>
  <dc:description/>
  <cp:lastModifiedBy>Jonathan Weber</cp:lastModifiedBy>
  <cp:revision/>
  <cp:lastPrinted>2026-09-21T22:34:11Z</cp:lastPrinted>
  <dcterms:created xsi:type="dcterms:W3CDTF">2022-03-30T13:23:41Z</dcterms:created>
  <dcterms:modified xsi:type="dcterms:W3CDTF">2026-09-21T22:35:46Z</dcterms:modified>
  <cp:category/>
  <cp:contentStatus/>
</cp:coreProperties>
</file>