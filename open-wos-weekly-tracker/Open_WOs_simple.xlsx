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5" yWindow="1275" windowWidth="25260" windowHeight="13695" tabRatio="600" firstSheet="0" activeTab="1" autoFilterDateGrouping="1"/>
  </bookViews>
  <sheets>
    <sheet name="Sheet1" sheetId="1" state="visible" r:id="rId1"/>
    <sheet name="Total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[$-F800]dddd\,\ mmmm\ dd\,\ yyyy"/>
    <numFmt numFmtId="165" formatCode="mm/dd/yy;@"/>
    <numFmt numFmtId="166" formatCode="&quot;▲ &quot;#,##0;&quot;▼ &quot;#,##0;&quot;No change&quot;"/>
  </numFmts>
  <fonts count="11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20"/>
      <scheme val="minor"/>
    </font>
    <font>
      <name val="Calibri"/>
      <family val="2"/>
      <i val="1"/>
      <color rgb="FF898781"/>
      <sz val="10"/>
      <scheme val="minor"/>
    </font>
    <font>
      <name val="Tahoma"/>
      <family val="2"/>
      <b val="1"/>
      <color indexed="81"/>
      <sz val="9"/>
    </font>
    <font>
      <name val="Calibri"/>
      <family val="2"/>
      <b val="1"/>
      <color rgb="FF262626"/>
      <sz val="16"/>
      <scheme val="minor"/>
    </font>
    <font>
      <name val="Calibri"/>
      <family val="2"/>
      <i val="1"/>
      <color rgb="FF52514E"/>
      <sz val="10"/>
      <scheme val="minor"/>
    </font>
    <font>
      <name val="Calibri"/>
      <family val="2"/>
      <color rgb="FF262626"/>
      <sz val="11"/>
      <scheme val="minor"/>
    </font>
    <font>
      <name val="Calibri"/>
      <family val="2"/>
      <b val="1"/>
      <color rgb="FF404040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5F5F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2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14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left" vertical="center"/>
    </xf>
    <xf numFmtId="14" fontId="1" fillId="0" borderId="0" applyAlignment="1" pivotButton="0" quotePrefix="0" xfId="0">
      <alignment horizontal="center" vertical="center"/>
    </xf>
    <xf numFmtId="14" fontId="1" fillId="0" borderId="0" applyAlignment="1" pivotButton="0" quotePrefix="0" xfId="0">
      <alignment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5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pivotButton="0" quotePrefix="0" xfId="0"/>
    <xf numFmtId="0" fontId="9" fillId="6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center" vertical="center" wrapText="1"/>
    </xf>
    <xf numFmtId="3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3" fontId="10" fillId="10" borderId="0" applyAlignment="1" pivotButton="0" quotePrefix="0" xfId="0">
      <alignment horizontal="center"/>
    </xf>
    <xf numFmtId="166" fontId="10" fillId="10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4" fontId="0" fillId="0" borderId="0" applyAlignment="1" pivotButton="0" quotePrefix="0" xfId="0">
      <alignment horizontal="left" vertical="center"/>
    </xf>
    <xf numFmtId="0" fontId="0" fillId="0" borderId="2" pivotButton="0" quotePrefix="0" xfId="0"/>
  </cellXfs>
  <cellStyles count="1">
    <cellStyle name="Normal" xfId="0" builtinId="0"/>
  </cellStyles>
  <dxfs count="18">
    <dxf>
      <font>
        <name val="Calibri"/>
        <family val="2"/>
        <b val="1"/>
        <strike val="0"/>
        <outline val="0"/>
        <shadow val="0"/>
        <condense val="0"/>
        <color rgb="FF404040"/>
        <extend val="0"/>
        <sz val="11"/>
        <vertAlign val="baseline"/>
        <scheme val="minor"/>
      </font>
      <numFmt numFmtId="166" formatCode="&quot;▲ &quot;#,##0;&quot;▼ &quot;#,##0;&quot;No change&quot;"/>
      <fill>
        <patternFill patternType="solid">
          <fgColor indexed="64"/>
          <bgColor rgb="FFF5F5F5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rgb="FF404040"/>
        <extend val="0"/>
        <sz val="11"/>
        <vertAlign val="baseline"/>
        <scheme val="minor"/>
      </font>
      <numFmt numFmtId="3" formatCode="#,##0"/>
      <fill>
        <patternFill patternType="solid">
          <fgColor indexed="64"/>
          <bgColor rgb="FFF5F5F5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rgb="FF404040"/>
        <extend val="0"/>
        <sz val="11"/>
        <vertAlign val="baseline"/>
        <scheme val="minor"/>
      </font>
      <numFmt numFmtId="3" formatCode="#,##0"/>
      <fill>
        <patternFill patternType="solid">
          <fgColor indexed="64"/>
          <bgColor rgb="FFF5F5F5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rgb="FF404040"/>
        <extend val="0"/>
        <sz val="11"/>
        <vertAlign val="baseline"/>
        <scheme val="minor"/>
      </font>
      <numFmt numFmtId="3" formatCode="#,##0"/>
      <fill>
        <patternFill patternType="solid">
          <fgColor indexed="64"/>
          <bgColor rgb="FFF5F5F5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9" formatCode="m/d/yyyy"/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alignment horizontal="center" vertical="bottom"/>
    </dxf>
    <dxf>
      <font>
        <name val="Calibri"/>
        <family val="2"/>
        <strike val="0"/>
        <outline val="0"/>
        <shadow val="0"/>
        <condense val="0"/>
        <color rgb="FF262626"/>
        <extend val="0"/>
        <sz val="11"/>
        <vertAlign val="baseline"/>
        <scheme val="minor"/>
      </font>
      <alignment horizontal="center" vertical="center" wrapText="1"/>
    </dxf>
    <dxf>
      <font>
        <color rgb="FF006300"/>
      </font>
    </dxf>
    <dxf>
      <font>
        <color rgb="FFD03B3B"/>
      </font>
    </dxf>
    <dxf>
      <font>
        <color rgb="FFD03B3B"/>
      </font>
    </dxf>
    <dxf>
      <font>
        <color rgb="FFD03B3B"/>
      </font>
    </dxf>
    <dxf>
      <font>
        <color rgb="FFD03B3B"/>
      </font>
    </dxf>
    <dxf>
      <font>
        <b val="1"/>
      </font>
      <border>
        <bottom style="thin">
          <color rgb="FF7F7F7F"/>
        </bottom>
      </border>
    </dxf>
    <dxf>
      <border>
        <bottom style="thin">
          <color rgb="FFBFBFBF"/>
        </bottom>
        <horizontal style="thin">
          <color rgb="FFE4E4E4"/>
        </horizontal>
      </border>
    </dxf>
  </dxfs>
  <tableStyles count="1" defaultTableStyle="TableStyleMedium2" defaultPivotStyle="PivotStyleLight16">
    <tableStyle name="Weekly Log Style" pivot="0" table="0" count="2">
      <tableStyleElement type="wholeTable" dxfId="17"/>
      <tableStyleElement type="headerRow" dxfId="16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Jonathan Weber</author>
  </authors>
  <commentList>
    <comment ref="D4" authorId="0" shapeId="0">
      <text>
        <t>Counts come from the TabWare data pasted in Sheet1: repair tickets = every work order that is not a PM; PMs = work order numbers starting with PM.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FFC000"/>
    <outlinePr summaryBelow="1" summaryRight="1"/>
    <pageSetUpPr/>
  </sheetPr>
  <dimension ref="A1:M1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85546875" customWidth="1" min="1" max="1"/>
    <col width="13.42578125" customWidth="1" min="2" max="2"/>
    <col width="9.85546875" customWidth="1" min="3" max="3"/>
    <col width="10.28515625" customWidth="1" min="4" max="4"/>
    <col width="13.7109375" customWidth="1" min="5" max="5"/>
    <col width="13.42578125" customWidth="1" min="6" max="6"/>
    <col width="25.140625" customWidth="1" min="7" max="7"/>
    <col width="25.28515625" customWidth="1" min="8" max="8"/>
    <col width="29.42578125" customWidth="1" min="9" max="9"/>
    <col width="12.42578125" customWidth="1" min="10" max="10"/>
    <col width="11.28515625" customWidth="1" min="11" max="11"/>
    <col width="8.85546875" customWidth="1" min="12" max="12"/>
    <col width="64.28515625" customWidth="1" min="13" max="13"/>
  </cols>
  <sheetData>
    <row r="1" ht="45" customHeight="1">
      <c r="A1" s="2" t="inlineStr">
        <is>
          <t>Work Order #</t>
        </is>
      </c>
      <c r="B1" s="2" t="inlineStr">
        <is>
          <t>Area Description</t>
        </is>
      </c>
      <c r="C1" s="2" t="inlineStr">
        <is>
          <t>Priority</t>
        </is>
      </c>
      <c r="D1" s="2" t="inlineStr">
        <is>
          <t>Entered Date</t>
        </is>
      </c>
      <c r="E1" s="2" t="inlineStr">
        <is>
          <t>Requested Completion</t>
        </is>
      </c>
      <c r="F1" s="2" t="inlineStr">
        <is>
          <t>Status Description</t>
        </is>
      </c>
      <c r="G1" s="2" t="inlineStr">
        <is>
          <t>Work Order Description</t>
        </is>
      </c>
      <c r="H1" s="2" t="inlineStr">
        <is>
          <t>Equipment Description</t>
        </is>
      </c>
      <c r="I1" s="2" t="inlineStr">
        <is>
          <t>Long Description</t>
        </is>
      </c>
      <c r="J1" s="2" t="inlineStr">
        <is>
          <t>Requestor</t>
        </is>
      </c>
      <c r="K1" s="2" t="inlineStr">
        <is>
          <t>Assigned To Name</t>
        </is>
      </c>
      <c r="L1" s="2" t="inlineStr">
        <is>
          <t>Craft Actual Hours</t>
        </is>
      </c>
      <c r="M1" s="2" t="inlineStr">
        <is>
          <t>Completion Remarks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tabSelected="1" workbookViewId="0">
      <selection activeCell="A1" sqref="A1"/>
    </sheetView>
  </sheetViews>
  <sheetFormatPr baseColWidth="8" defaultColWidth="9.140625" defaultRowHeight="15"/>
  <cols>
    <col width="10.7109375" bestFit="1" customWidth="1" style="3" min="1" max="1"/>
    <col width="35.140625" bestFit="1" customWidth="1" style="4" min="2" max="2"/>
    <col width="9.140625" customWidth="1" style="4" min="3" max="3"/>
    <col width="9.140625" customWidth="1" style="4" min="4" max="4"/>
    <col width="27" bestFit="1" customWidth="1" style="4" min="5" max="5"/>
    <col width="9.140625" customWidth="1" style="4" min="6" max="16384"/>
  </cols>
  <sheetData>
    <row r="1">
      <c r="A1" s="7" t="inlineStr">
        <is>
          <t>DATE</t>
        </is>
      </c>
      <c r="B1" s="51" t="n">
        <v>46280</v>
      </c>
      <c r="D1" s="7" t="inlineStr">
        <is>
          <t>DATE</t>
        </is>
      </c>
      <c r="E1" s="51" t="n">
        <v>46286</v>
      </c>
      <c r="M1" s="7" t="inlineStr">
        <is>
          <t>DATE</t>
        </is>
      </c>
      <c r="N1" s="51" t="n"/>
    </row>
    <row r="2" ht="18.75" customHeight="1">
      <c r="A2" s="16" t="n"/>
      <c r="B2" s="17" t="n"/>
      <c r="D2" s="16" t="n"/>
      <c r="E2" s="17" t="n"/>
      <c r="M2" s="16" t="n"/>
      <c r="N2" s="17" t="n"/>
    </row>
    <row r="3" ht="15" customHeight="1">
      <c r="A3" s="42" t="inlineStr">
        <is>
          <t>BURNSVILLE</t>
        </is>
      </c>
      <c r="B3" s="52" t="n"/>
      <c r="D3" s="42" t="inlineStr">
        <is>
          <t>BURNSVILLE</t>
        </is>
      </c>
      <c r="E3" s="52" t="n"/>
      <c r="M3" s="42" t="inlineStr">
        <is>
          <t>BURNSVILLE</t>
        </is>
      </c>
      <c r="N3" s="52" t="n"/>
    </row>
    <row r="4" ht="18.75" customHeight="1">
      <c r="A4" s="5" t="n">
        <v>11</v>
      </c>
      <c r="B4" s="6" t="inlineStr">
        <is>
          <t>OPEN REPAIR TICKETS</t>
        </is>
      </c>
      <c r="D4" s="5">
        <f>COUNTIFS(Sheet1!$B:$B,"BURNSVILLE*")-COUNTIFS(Sheet1!$B:$B,"BURNSVILLE*",Sheet1!$A:$A,"PM*")</f>
        <v/>
      </c>
      <c r="E4" s="6" t="inlineStr">
        <is>
          <t>OPEN REPAIR TICKETS</t>
        </is>
      </c>
      <c r="M4" s="5" t="n"/>
      <c r="N4" s="6" t="n"/>
    </row>
    <row r="5" ht="18.75" customHeight="1">
      <c r="A5" s="5" t="n">
        <v>3</v>
      </c>
      <c r="B5" s="6" t="inlineStr">
        <is>
          <t xml:space="preserve">OPEN PMS </t>
        </is>
      </c>
      <c r="D5" s="5">
        <f>COUNTIFS(Sheet1!$B:$B,"BURNSVILLE*",Sheet1!$A:$A,"PM*")</f>
        <v/>
      </c>
      <c r="E5" s="6" t="inlineStr">
        <is>
          <t xml:space="preserve">OPEN PMS </t>
        </is>
      </c>
      <c r="M5" s="5" t="n"/>
      <c r="N5" s="6" t="n"/>
    </row>
    <row r="6" ht="18.75" customHeight="1">
      <c r="A6" s="5">
        <f>SUM(A4+A5)</f>
        <v/>
      </c>
      <c r="B6" s="6" t="inlineStr">
        <is>
          <t>TOTAL</t>
        </is>
      </c>
      <c r="D6" s="5">
        <f>SUM(D4+D5)</f>
        <v/>
      </c>
      <c r="E6" s="6" t="inlineStr">
        <is>
          <t>TOTAL</t>
        </is>
      </c>
      <c r="M6" s="5" t="n"/>
      <c r="N6" s="6" t="n"/>
    </row>
    <row r="7">
      <c r="A7" s="4" t="n"/>
    </row>
    <row r="8" ht="15" customHeight="1">
      <c r="A8" s="43" t="inlineStr">
        <is>
          <t>LAKEVILLE</t>
        </is>
      </c>
      <c r="B8" s="52" t="n"/>
      <c r="D8" s="43" t="inlineStr">
        <is>
          <t>LAKEVILLE</t>
        </is>
      </c>
      <c r="E8" s="52" t="n"/>
      <c r="M8" s="43" t="inlineStr">
        <is>
          <t>LAKEVILLE</t>
        </is>
      </c>
      <c r="N8" s="52" t="n"/>
    </row>
    <row r="9" ht="18.75" customHeight="1">
      <c r="A9" s="5" t="n">
        <v>32</v>
      </c>
      <c r="B9" s="6" t="inlineStr">
        <is>
          <t>OPEN REPAIR TICKETS</t>
        </is>
      </c>
      <c r="D9" s="5">
        <f>COUNTIFS(Sheet1!$B:$B,"LAKEVILLE*")-COUNTIFS(Sheet1!$B:$B,"LAKEVILLE*",Sheet1!$A:$A,"PM*")</f>
        <v/>
      </c>
      <c r="E9" s="6" t="inlineStr">
        <is>
          <t>OPEN REPAIR TICKETS</t>
        </is>
      </c>
      <c r="M9" s="5" t="n"/>
      <c r="N9" s="6" t="n"/>
    </row>
    <row r="10" ht="18.75" customHeight="1">
      <c r="A10" s="5" t="n">
        <v>173</v>
      </c>
      <c r="B10" s="6" t="inlineStr">
        <is>
          <t xml:space="preserve">OPEN PMS </t>
        </is>
      </c>
      <c r="D10" s="5">
        <f>COUNTIFS(Sheet1!$B:$B,"LAKEVILLE*",Sheet1!$A:$A,"PM*")</f>
        <v/>
      </c>
      <c r="E10" s="6" t="inlineStr">
        <is>
          <t xml:space="preserve">OPEN PMS </t>
        </is>
      </c>
      <c r="M10" s="5" t="n"/>
      <c r="N10" s="6" t="n"/>
    </row>
    <row r="11" ht="18.75" customHeight="1">
      <c r="A11" s="5">
        <f>SUM(A9+A10)</f>
        <v/>
      </c>
      <c r="B11" s="6" t="inlineStr">
        <is>
          <t>TOTAL</t>
        </is>
      </c>
      <c r="D11" s="5">
        <f>SUM(D9+D10)</f>
        <v/>
      </c>
      <c r="E11" s="6" t="inlineStr">
        <is>
          <t>TOTAL</t>
        </is>
      </c>
      <c r="M11" s="5" t="n"/>
      <c r="N11" s="6" t="n"/>
    </row>
    <row r="12">
      <c r="D12" s="3" t="n"/>
      <c r="M12" s="3" t="n"/>
    </row>
    <row r="13" ht="18.75" customHeight="1">
      <c r="A13" s="44" t="inlineStr">
        <is>
          <t>COMBINED</t>
        </is>
      </c>
      <c r="B13" s="52" t="n"/>
      <c r="D13" s="44" t="inlineStr">
        <is>
          <t>COMBINED</t>
        </is>
      </c>
      <c r="E13" s="52" t="n"/>
      <c r="M13" s="44" t="inlineStr">
        <is>
          <t>COMBINED</t>
        </is>
      </c>
      <c r="N13" s="52" t="n"/>
    </row>
    <row r="14" ht="18.75" customHeight="1">
      <c r="A14" s="5">
        <f>SUM(A6+A11)</f>
        <v/>
      </c>
      <c r="B14" s="6" t="inlineStr">
        <is>
          <t>TOTAL OPEN IN BOTH PLANTS</t>
        </is>
      </c>
      <c r="D14" s="5">
        <f>SUM(D6+D11)</f>
        <v/>
      </c>
      <c r="E14" s="6" t="inlineStr">
        <is>
          <t>TOTAL OPEN IN BOTH PLANTS</t>
        </is>
      </c>
      <c r="M14" s="5" t="n"/>
      <c r="N14" s="6" t="n"/>
    </row>
    <row r="15">
      <c r="D15" s="3" t="n"/>
      <c r="M15" s="3" t="n"/>
    </row>
    <row r="16">
      <c r="A16" s="31" t="n"/>
      <c r="D16" s="31" t="n"/>
      <c r="M16" s="31" t="n"/>
    </row>
    <row r="17">
      <c r="D17" s="3" t="n"/>
      <c r="M17" s="3" t="n"/>
    </row>
    <row r="18">
      <c r="D18" s="3" t="n"/>
      <c r="M18" s="3" t="n"/>
    </row>
    <row r="19">
      <c r="D19" s="3" t="n"/>
      <c r="M19" s="3" t="n"/>
    </row>
    <row r="20">
      <c r="D20" s="3" t="n"/>
      <c r="M20" s="3" t="n"/>
    </row>
    <row r="21">
      <c r="D21" s="3" t="n"/>
    </row>
  </sheetData>
  <mergeCells count="9">
    <mergeCell ref="D8:E8"/>
    <mergeCell ref="D13:E13"/>
    <mergeCell ref="A13:B13"/>
    <mergeCell ref="M3:N3"/>
    <mergeCell ref="A8:B8"/>
    <mergeCell ref="D3:E3"/>
    <mergeCell ref="A3:B3"/>
    <mergeCell ref="M8:N8"/>
    <mergeCell ref="M13:N13"/>
  </mergeCells>
  <pageMargins left="0.7" right="0.7" top="0.75" bottom="0.75" header="0.3" footer="0.3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Kristine Michael</dc:creator>
  <dcterms:created xsi:type="dcterms:W3CDTF">2022-03-30T13:23:41Z</dcterms:created>
  <dcterms:modified xsi:type="dcterms:W3CDTF">2026-09-21T23:15:27Z</dcterms:modified>
  <cp:lastModifiedBy>Jonathan Weber</cp:lastModifiedBy>
  <cp:lastPrinted>2026-09-21T22:34:11Z</cp:lastPrinted>
</cp:coreProperties>
</file>