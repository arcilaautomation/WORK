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xr:revisionPtr revIDLastSave="2" documentId="8_{13A66354-4290-446E-B311-AE1A5843A5C8}" xr6:coauthVersionLast="47" xr6:coauthVersionMax="47" xr10:uidLastSave="{0EE88116-21C8-4AA4-8C62-316F6907B512}"/>
  <bookViews>
    <workbookView activeTab="1" xWindow="285" yWindow="1275" windowWidth="25260" windowHeight="13695" xr2:uid="{C7DEE03B-6693-435C-9B90-2E0F24388ABA}"/>
  </bookViews>
  <sheets>
    <sheet name="Sheet1" sheetId="17" r:id="rId2"/>
    <sheet name="Totals" sheetId="2" r:id="rId1"/>
  </sheets>
  <definedNames>
    <definedName name="chart_Week" localSheetId="0">INDEX(WeeklyLog[Week Of],1):INDEX(WeeklyLog[Week Of],MAX(1,COUNT(WeeklyLog[Week Of])))</definedName>
    <definedName name="chart_BV" localSheetId="0">INDEX(WeeklyLog[Burnsville Total],1):INDEX(WeeklyLog[Burnsville Total],MAX(1,COUNT(WeeklyLog[Week Of])))</definedName>
    <definedName name="chart_LV" localSheetId="0">INDEX(WeeklyLog[Lakeville Total],1):INDEX(WeeklyLog[Lakeville Total],MAX(1,COUNT(WeeklyLog[Week Of])))</definedName>
    <definedName name="chart_CO" localSheetId="0">INDEX(WeeklyLog[Combined Total],1):INDEX(WeeklyLog[Combined Total],MAX(1,COUNT(WeeklyLog[Week Of])))</definedName>
    <definedName name="last_BV" localSheetId="0">IF(Sheet1!chart_Week=MAX(Sheet1!chart_Week),Sheet1!chart_BV,NA())</definedName>
    <definedName name="last_LV" localSheetId="0">IF(Sheet1!chart_Week=MAX(Sheet1!chart_Week),Sheet1!chart_LV,NA())</definedName>
    <definedName name="last_CO" localSheetId="0">IF(Sheet1!chart_Week=MAX(Sheet1!chart_Week),Sheet1!chart_CO,NA())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<sst xmlns="http://schemas.openxmlformats.org/spreadsheetml/2006/main" count="18" uniqueCount="18">
  <si>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</si>
  <si>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BURNSVILLE</t>
  </si>
  <si>
    <t>OPEN REPAIR TICKETS</t>
  </si>
  <si>
    <t xml:space="preserve">OPEN PMS </t>
  </si>
  <si>
    <t>TOTAL</t>
  </si>
  <si>
    <t>LAKEVILLE</t>
  </si>
  <si>
    <t>COMBINED</t>
  </si>
  <si>
    <t>TOTAL OPEN IN BOTH PLANTS</t>
  </si>
  <si>
    <t>OPEN WORK ORDERS – WEEKLY HISTORY</t>
  </si>
  <si>
    <t>Week Of</t>
  </si>
  <si>
    <t>Burnsville Repair Tickets</t>
  </si>
  <si>
    <t>Burnsville PMs</t>
  </si>
  <si>
    <t>Burnsville Total</t>
  </si>
  <si>
    <t>Lakeville Repair Tickets</t>
  </si>
  <si>
    <t>Lakeville PMs</t>
  </si>
  <si>
    <t>Lakeville Total</t>
  </si>
  <si>
    <t>Combined Total</t>
  </si>
  <si>
    <t>Change vs Last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</si>
</sst>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/dd/yy;@"/>
    <numFmt numFmtId="165" formatCode="[$-F800]dddd\,\ mmmm\ dd\,\ yyyy"/>
    <numFmt numFmtId="166" formatCode="&quot;▲ &quot;#,##0;&quot;▼ &quot;#,##0;&quot;No change&quot;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0"/>
      <color rgb="FF898781"/>
      <name val="Calibri"/>
      <family val="2"/>
      <scheme val="minor"/>
    </font>
    <font>
      <b/>
      <sz val="9"/>
      <color indexed="81"/>
      <name val="Tahoma"/>
      <family val="2"/>
    </font>
    <font>
      <b/>
      <sz val="16"/>
      <color rgb="FF262626"/>
      <name val="Calibri"/>
      <family val="2"/>
      <scheme val="minor"/>
    </font>
    <font>
      <i/>
      <sz val="10"/>
      <color rgb="FF52514E"/>
      <name val="Calibri"/>
      <family val="2"/>
      <scheme val="minor"/>
    </font>
    <font>
      <sz val="11"/>
      <color rgb="FF262626"/>
      <name val="Calibri"/>
      <family val="2"/>
      <scheme val="minor"/>
    </font>
    <font>
      <b/>
      <sz val="11"/>
      <color rgb="FF40404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5F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0" fontId="0" fillId="5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" xfId="0" applyBorder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9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3" fontId="10" fillId="10" borderId="0" xfId="0" applyNumberFormat="1" applyFont="1" applyFill="1" applyAlignment="1">
      <alignment horizontal="center"/>
    </xf>
    <xf numFmtId="166" fontId="10" fillId="10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166" formatCode="&quot;▲ &quot;#,##0;&quot;▼ &quot;#,##0;&quot;No change&quot;"/>
      <fill>
        <patternFill patternType="solid">
          <fgColor indexed="64"/>
          <bgColor rgb="FFF5F5F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3" formatCode="#,##0"/>
      <fill>
        <patternFill patternType="solid">
          <fgColor indexed="64"/>
          <bgColor rgb="FFF5F5F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3" formatCode="#,##0"/>
      <fill>
        <patternFill patternType="solid">
          <fgColor indexed="64"/>
          <bgColor rgb="FFF5F5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3" formatCode="#,##0"/>
      <fill>
        <patternFill patternType="solid">
          <fgColor indexed="64"/>
          <bgColor rgb="FFF5F5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color rgb="FF006300"/>
      </font>
    </dxf>
    <dxf>
      <font>
        <color rgb="FFD03B3B"/>
      </font>
    </dxf>
    <dxf>
      <font>
        <color rgb="FFD03B3B"/>
      </font>
    </dxf>
    <dxf>
      <font>
        <color rgb="FFD03B3B"/>
      </font>
    </dxf>
    <dxf>
      <font>
        <color rgb="FFD03B3B"/>
      </font>
    </dxf>
    <dxf>
      <font>
        <b/>
        <i val="0"/>
      </font>
      <border>
        <bottom style="thin">
          <color rgb="FF7F7F7F"/>
        </bottom>
      </border>
    </dxf>
    <dxf>
      <border>
        <bottom style="thin">
          <color rgb="FFBFBFBF"/>
        </bottom>
        <horizontal style="thin">
          <color rgb="FFE4E4E4"/>
        </horizontal>
      </border>
    </dxf>
    <dxf>
      <fill>
        <patternFill>
          <bgColor rgb="FFFFFF00"/>
        </patternFill>
      </fill>
    </dxf>
  </dxfs>
  <tableStyles count="1" defaultTableStyle="TableStyleMedium2" defaultPivotStyle="PivotStyleLight16">
    <tableStyle name="Weekly Log Style" pivot="0" table="0" count="2" xr9:uid="{FA79C010-6356-4203-AB79-3D71C0298BED}">
      <tableStyleElement type="wholeTable" dxfId="17"/>
      <tableStyleElement type="headerRow" dxfId="16"/>
    </tableStyle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work orders by week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9690033018841051E-2"/>
          <c:y val="0.31041666666666673"/>
          <c:w val="0.89939024390243905"/>
          <c:h val="0.60329861111111116"/>
        </c:manualLayout>
      </c:layout>
      <c:lineChart>
        <c:grouping val="standard"/>
        <c:varyColors val="0"/>
        <c:ser>
          <c:idx val="0"/>
          <c:order val="0"/>
          <c:tx>
            <c:v>Burnsville</c:v>
          </c:tx>
          <c:spPr>
            <a:ln w="25400">
              <a:solidFill>
                <a:srgbClr val="1BAF7A"/>
              </a:solidFill>
            </a:ln>
          </c:spPr>
          <c:marker>
            <c:symbol val="circle"/>
            <c:size val="7"/>
            <c:spPr>
              <a:solidFill>
                <a:srgbClr val="1BAF7A"/>
              </a:solidFill>
              <a:ln w="25400">
                <a:solidFill>
                  <a:srgbClr val="FFFFFF"/>
                </a:solidFill>
                <a:prstDash val="solid"/>
              </a:ln>
            </c:spPr>
          </c:marker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Sheet1!chart_BV</c:f>
              <c:numCache>
                <c:formatCode>#,##0</c:formatCode>
                <c:ptCount val="2"/>
                <c:pt idx="0">
                  <c:v>14</c:v>
                </c:pt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2D-4CC4-98FB-3FC4B1E2CDF3}"/>
            </c:ext>
          </c:extLst>
        </c:ser>
        <c:ser>
          <c:idx val="1"/>
          <c:order val="1"/>
          <c:tx>
            <c:v>Lakeville</c:v>
          </c:tx>
          <c:spPr>
            <a:ln w="25400">
              <a:solidFill>
                <a:srgbClr val="2A78D6"/>
              </a:solidFill>
            </a:ln>
          </c:spPr>
          <c:marker>
            <c:symbol val="circle"/>
            <c:size val="7"/>
            <c:spPr>
              <a:solidFill>
                <a:srgbClr val="2A78D6"/>
              </a:solidFill>
              <a:ln w="25400">
                <a:solidFill>
                  <a:srgbClr val="FFFFFF"/>
                </a:solidFill>
                <a:prstDash val="solid"/>
              </a:ln>
            </c:spPr>
          </c:marker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Sheet1!chart_LV</c:f>
              <c:numCache>
                <c:formatCode>#,##0</c:formatCode>
                <c:ptCount val="2"/>
                <c:pt idx="0">
                  <c:v>205</c:v>
                </c:pt>
                <c:pt idx="1">
                  <c:v>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2D-4CC4-98FB-3FC4B1E2CDF3}"/>
            </c:ext>
          </c:extLst>
        </c:ser>
        <c:ser>
          <c:idx val="2"/>
          <c:order val="2"/>
          <c:tx>
            <c:v>Combined</c:v>
          </c:tx>
          <c:spPr>
            <a:ln w="31750">
              <a:solidFill>
                <a:srgbClr val="262626"/>
              </a:solidFill>
            </a:ln>
          </c:spPr>
          <c:marker>
            <c:symbol val="circle"/>
            <c:size val="7"/>
            <c:spPr>
              <a:solidFill>
                <a:srgbClr val="262626"/>
              </a:solidFill>
              <a:ln w="31750">
                <a:solidFill>
                  <a:srgbClr val="FFFFFF"/>
                </a:solidFill>
                <a:prstDash val="solid"/>
              </a:ln>
            </c:spPr>
          </c:marker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Sheet1!chart_CO</c:f>
              <c:numCache>
                <c:formatCode>#,##0</c:formatCode>
                <c:ptCount val="2"/>
                <c:pt idx="0">
                  <c:v>219</c:v>
                </c:pt>
                <c:pt idx="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2D-4CC4-98FB-3FC4B1E2CDF3}"/>
            </c:ext>
          </c:extLst>
        </c:ser>
        <c:ser>
          <c:idx val="3"/>
          <c:order val="3"/>
          <c:tx>
            <c:v>Burnsville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Sheet1!last_BV</c:f>
              <c:numCache>
                <c:formatCode>#,##0</c:formatCode>
                <c:ptCount val="2"/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2D-4CC4-98FB-3FC4B1E2CDF3}"/>
            </c:ext>
          </c:extLst>
        </c:ser>
        <c:ser>
          <c:idx val="4"/>
          <c:order val="4"/>
          <c:tx>
            <c:v>Lakeville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Sheet1!last_LV</c:f>
              <c:numCache>
                <c:formatCode>#,##0</c:formatCode>
                <c:ptCount val="2"/>
                <c:pt idx="1">
                  <c:v>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2D-4CC4-98FB-3FC4B1E2CDF3}"/>
            </c:ext>
          </c:extLst>
        </c:ser>
        <c:ser>
          <c:idx val="5"/>
          <c:order val="5"/>
          <c:tx>
            <c:v>Combined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70AD47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Sheet1!last_CO</c:f>
              <c:numCache>
                <c:formatCode>#,##0</c:formatCode>
                <c:ptCount val="2"/>
                <c:pt idx="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2D-4CC4-98FB-3FC4B1E2C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949167"/>
        <c:axId val="1424949647"/>
      </c:lineChart>
      <c:catAx>
        <c:axId val="1424949167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spPr>
          <a:ln w="9525">
            <a:solidFill>
              <a:srgbClr val="C3C2B7"/>
            </a:solidFill>
          </a:ln>
        </c:spPr>
        <c:crossAx val="1424949647"/>
        <c:crosses val="autoZero"/>
        <c:auto val="0"/>
        <c:lblAlgn val="ctr"/>
        <c:lblOffset val="100"/>
        <c:noMultiLvlLbl val="0"/>
      </c:catAx>
      <c:valAx>
        <c:axId val="1424949647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1E0D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424949167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solidFill>
        <a:srgbClr val="D9D9D9"/>
      </a:solidFill>
    </a:ln>
  </c:spPr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3</xdr:row>
      <xdr:rowOff>0</xdr:rowOff>
    </xdr:from>
    <xdr:to>
      <xdr:col>8</xdr:col>
      <xdr:colOff>1376680</xdr:colOff>
      <xdr:row>19</xdr:row>
      <xdr:rowOff>0</xdr:rowOff>
    </xdr:to>
    <xdr:graphicFrame macro="">
      <xdr:nvGraphicFramePr>
        <xdr:cNvPr id="2" name="Open work orders by week">
          <a:extLst>
            <a:ext uri="{FF2B5EF4-FFF2-40B4-BE49-F238E27FC236}">
              <a16:creationId xmlns:a16="http://schemas.microsoft.com/office/drawing/2014/main" id="{BC12A2EC-9CAA-A219-5E60-3DD6D2966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A67808-CB3C-417B-9344-CB465344E1E7}" name="WeeklyLog" displayName="WeeklyLog" ref="A21:I47" totalsRowShown="0" headerRowDxfId="10" dataDxfId="9">
  <autoFilter ref="A21:I47" xr:uid="{FAA67808-CB3C-417B-9344-CB465344E1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147C25E-F3F6-4B45-B9D8-E6FCD9403FCD}" name="Week Of" dataDxfId="8">
      <calculatedColumnFormula>IFERROR(INDEX(Totals!$1:$1,_xlfn.AGGREGATE(15,6,COLUMN(Totals!$A$1:$ZZ$1)/((MOD(COLUMN(Totals!$A$1:$ZZ$1)-2,3)=0)*ISNUMBER(Totals!$A$1:$ZZ$1)),(ROW()-ROW(WeeklyLog[[#Headers],[Week Of]])))),"")</calculatedColumnFormula>
    </tableColumn>
    <tableColumn id="2" xr3:uid="{D5CF7A79-7DDD-4B83-8875-CCD6C8D9E42D}" name="Burnsville Repair Tickets" dataDxfId="7">
      <calculatedColumnFormula>IFERROR(INDEX(Totals!$4:$4,_xlfn.AGGREGATE(15,6,COLUMN(Totals!$A$1:$ZZ$1)/((MOD(COLUMN(Totals!$A$1:$ZZ$1)-2,3)=0)*ISNUMBER(Totals!$A$1:$ZZ$1)),(ROW()-ROW(WeeklyLog[[#Headers],[Week Of]])))-1),"")</calculatedColumnFormula>
    </tableColumn>
    <tableColumn id="3" xr3:uid="{C49CEAF5-521E-4B6D-9855-C9264B51FF10}" name="Burnsville PMs" dataDxfId="6">
      <calculatedColumnFormula>IFERROR(INDEX(Totals!$5:$5,_xlfn.AGGREGATE(15,6,COLUMN(Totals!$A$1:$ZZ$1)/((MOD(COLUMN(Totals!$A$1:$ZZ$1)-2,3)=0)*ISNUMBER(Totals!$A$1:$ZZ$1)),(ROW()-ROW(WeeklyLog[[#Headers],[Week Of]])))-1),"")</calculatedColumnFormula>
    </tableColumn>
    <tableColumn id="4" xr3:uid="{DEEE7B5D-DDBA-4E11-85BC-C3DC53551764}" name="Burnsville Total" dataDxfId="5">
      <calculatedColumnFormula>IF(WeeklyLog[[#This Row],[Week Of]]="","",WeeklyLog[[#This Row],[Burnsville Repair Tickets]]+WeeklyLog[[#This Row],[Burnsville PMs]])</calculatedColumnFormula>
    </tableColumn>
    <tableColumn id="5" xr3:uid="{87460474-A791-4B36-9A6A-38F4E93B1F7B}" name="Lakeville Repair Tickets" dataDxfId="4">
      <calculatedColumnFormula>IFERROR(INDEX(Totals!$9:$9,_xlfn.AGGREGATE(15,6,COLUMN(Totals!$A$1:$ZZ$1)/((MOD(COLUMN(Totals!$A$1:$ZZ$1)-2,3)=0)*ISNUMBER(Totals!$A$1:$ZZ$1)),(ROW()-ROW(WeeklyLog[[#Headers],[Week Of]])))-1),"")</calculatedColumnFormula>
    </tableColumn>
    <tableColumn id="6" xr3:uid="{E558F3A5-D9CB-4C23-AA9F-7293BC7F900F}" name="Lakeville PMs" dataDxfId="3">
      <calculatedColumnFormula>IFERROR(INDEX(Totals!$10:$10,_xlfn.AGGREGATE(15,6,COLUMN(Totals!$A$1:$ZZ$1)/((MOD(COLUMN(Totals!$A$1:$ZZ$1)-2,3)=0)*ISNUMBER(Totals!$A$1:$ZZ$1)),(ROW()-ROW(WeeklyLog[[#Headers],[Week Of]])))-1),"")</calculatedColumnFormula>
    </tableColumn>
    <tableColumn id="7" xr3:uid="{C1803D2A-0953-4951-86B5-83796D01D2E4}" name="Lakeville Total" dataDxfId="2">
      <calculatedColumnFormula>IF(WeeklyLog[[#This Row],[Week Of]]="","",WeeklyLog[[#This Row],[Lakeville Repair Tickets]]+WeeklyLog[[#This Row],[Lakeville PMs]])</calculatedColumnFormula>
    </tableColumn>
    <tableColumn id="8" xr3:uid="{8B96D422-70C6-413B-88C0-02987BEE57E8}" name="Combined Total" dataDxfId="1">
      <calculatedColumnFormula>IF(WeeklyLog[[#This Row],[Week Of]]="","",WeeklyLog[[#This Row],[Burnsville Total]]+WeeklyLog[[#This Row],[Lakeville Total]])</calculatedColumnFormula>
    </tableColumn>
    <tableColumn id="9" xr3:uid="{523885D8-48C2-49DC-8CDF-4F86F11AD6A1}" name="Change vs Last Week" dataDxfId="0">
      <calculatedColumnFormula>IFERROR(WeeklyLog[[#This Row],[Combined Total]]-OFFSET(WeeklyLog[[#This Row],[Combined Total]],-1,0),"")</calculatedColumnFormula>
    </tableColumn>
  </tableColumns>
  <tableStyleInfo name="Weekly Log Style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3B0A-06FD-4F6C-BECC-32CA9848D96D}">
  <sheetPr/>
  <dimension ref="A1:K17"/>
  <sheetViews>
    <sheetView tabSelected="1" workbookViewId="0">
      <selection activeCell="A1" sqref="A1"/>
    </sheetView>
  </sheetViews>
  <sheetFormatPr defaultColWidth="9.140625" defaultRowHeight="15" x14ac:dyDescent="0.25"/>
  <cols>
    <col min="1" max="1" width="10.7109375" style="3" customWidth="1"/>
    <col min="2" max="2" width="35.140625" style="4" customWidth="1"/>
    <col min="3" max="3" width="9.140625" style="4" customWidth="1"/>
    <col min="4" max="4" width="9.140625" style="4" customWidth="1"/>
    <col min="5" max="5" width="27" style="4" customWidth="1"/>
    <col min="6" max="6" width="9.140625" style="4" customWidth="1"/>
    <col min="7" max="7" width="9.140625" style="4" customWidth="1"/>
    <col min="8" max="8" width="27" style="4" customWidth="1"/>
    <col min="9" max="9" width="9.140625" style="4" customWidth="1"/>
    <col min="10" max="10" width="9.140625" style="4" customWidth="1"/>
    <col min="11" max="11" width="27" style="4" customWidth="1"/>
    <col min="12" max="12" width="9.140625" style="4" customWidth="1"/>
    <col min="13" max="13" width="9.140625" style="4" customWidth="1"/>
    <col min="14" max="14" width="27" style="4" customWidth="1"/>
    <col min="15" max="15" width="9.140625" style="4" customWidth="1"/>
    <col min="16" max="16" width="9.140625" style="4" customWidth="1"/>
    <col min="17" max="17" width="27" style="4" customWidth="1"/>
    <col min="18" max="18" width="9.140625" style="4" customWidth="1"/>
    <col min="19" max="19" width="9.140625" style="4" customWidth="1"/>
    <col min="20" max="20" width="27" style="4" customWidth="1"/>
    <col min="21" max="21" width="9.140625" style="4" customWidth="1"/>
    <col min="22" max="22" width="9.140625" style="4" customWidth="1"/>
    <col min="23" max="23" width="27" style="4" customWidth="1"/>
    <col min="24" max="24" width="9.140625" style="4" customWidth="1"/>
    <col min="25" max="25" width="9.140625" style="4" customWidth="1"/>
    <col min="26" max="26" width="27" style="4" customWidth="1"/>
    <col min="27" max="27" width="9.140625" style="4" customWidth="1"/>
    <col min="28" max="28" width="9.140625" style="4" customWidth="1"/>
    <col min="29" max="29" width="27" style="4" customWidth="1"/>
    <col min="30" max="30" width="9.140625" style="4" customWidth="1"/>
    <col min="31" max="31" width="9.140625" style="4" customWidth="1"/>
    <col min="32" max="32" width="27" style="4" customWidth="1"/>
    <col min="33" max="33" width="9.140625" style="4" customWidth="1"/>
    <col min="34" max="34" width="9.140625" style="4" customWidth="1"/>
    <col min="35" max="35" width="27" style="4" customWidth="1"/>
    <col min="36" max="36" width="9.140625" style="4" customWidth="1"/>
    <col min="37" max="37" width="9.140625" style="4" customWidth="1"/>
    <col min="38" max="38" width="27" style="4" customWidth="1"/>
    <col min="39" max="39" width="9.140625" style="4" customWidth="1"/>
    <col min="40" max="40" width="9.140625" style="4" customWidth="1"/>
    <col min="41" max="41" width="27" style="4" customWidth="1"/>
    <col min="42" max="42" width="9.140625" style="4" customWidth="1"/>
    <col min="43" max="43" width="9.140625" style="4" customWidth="1"/>
    <col min="44" max="44" width="27" style="4" customWidth="1"/>
    <col min="45" max="45" width="9.140625" style="4" customWidth="1"/>
    <col min="46" max="46" width="9.140625" style="4" customWidth="1"/>
    <col min="47" max="47" width="27" style="4" customWidth="1"/>
    <col min="48" max="48" width="9.140625" style="4" customWidth="1"/>
    <col min="49" max="49" width="9.140625" style="4" customWidth="1"/>
    <col min="50" max="50" width="27" style="4" customWidth="1"/>
    <col min="51" max="51" width="9.140625" style="4" customWidth="1"/>
    <col min="52" max="52" width="9.140625" style="4" customWidth="1"/>
    <col min="53" max="53" width="27" style="4" customWidth="1"/>
    <col min="54" max="54" width="9.140625" style="4" customWidth="1"/>
    <col min="55" max="55" width="9.140625" style="4" customWidth="1"/>
    <col min="56" max="56" width="27" style="4" customWidth="1"/>
    <col min="57" max="57" width="9.140625" style="4" customWidth="1"/>
    <col min="58" max="58" width="9.140625" style="4" customWidth="1"/>
    <col min="59" max="59" width="27" style="4" customWidth="1"/>
    <col min="60" max="60" width="9.140625" style="4" customWidth="1"/>
    <col min="61" max="61" width="9.140625" style="4" customWidth="1"/>
    <col min="62" max="62" width="27" style="4" customWidth="1"/>
    <col min="63" max="63" width="9.140625" style="4" customWidth="1"/>
    <col min="64" max="64" width="9.140625" style="4" customWidth="1"/>
    <col min="65" max="65" width="27" style="4" customWidth="1"/>
    <col min="66" max="66" width="9.140625" style="4" customWidth="1"/>
    <col min="67" max="67" width="9.140625" style="4" customWidth="1"/>
    <col min="68" max="68" width="27" style="4" customWidth="1"/>
    <col min="69" max="69" width="9.140625" style="4" customWidth="1"/>
    <col min="70" max="70" width="9.140625" style="4" customWidth="1"/>
    <col min="71" max="71" width="27" style="4" customWidth="1"/>
    <col min="72" max="72" width="9.140625" style="4" customWidth="1"/>
    <col min="73" max="73" width="9.140625" style="4" customWidth="1"/>
    <col min="74" max="74" width="27" style="4" customWidth="1"/>
    <col min="75" max="75" width="9.140625" style="4" customWidth="1"/>
    <col min="76" max="76" width="9.140625" style="4" customWidth="1"/>
    <col min="77" max="77" width="27" style="4" customWidth="1"/>
    <col min="78" max="78" width="9.140625" style="4" customWidth="1"/>
    <col min="79" max="79" width="9.140625" style="4" customWidth="1"/>
    <col min="80" max="80" width="27" style="4" customWidth="1"/>
    <col min="81" max="81" width="9.140625" style="4" customWidth="1"/>
    <col min="82" max="82" width="9.140625" style="4" customWidth="1"/>
    <col min="83" max="83" width="27" style="4" customWidth="1"/>
    <col min="84" max="84" width="9.140625" style="4" customWidth="1"/>
    <col min="85" max="85" width="9.140625" style="4" customWidth="1"/>
    <col min="86" max="86" width="27" style="4" customWidth="1"/>
    <col min="87" max="87" width="9.140625" style="4" customWidth="1"/>
    <col min="88" max="88" width="9.140625" style="4" customWidth="1"/>
    <col min="89" max="89" width="27" style="4" customWidth="1"/>
    <col min="90" max="90" width="9.140625" style="4" customWidth="1"/>
    <col min="91" max="16384" width="9.140625" style="4"/>
  </cols>
  <sheetData>
    <row r="1" x14ac:dyDescent="0.25">
      <c r="A1" s="7" t="s">
        <v>0</v>
      </c>
      <c r="B1" s="8">
        <v>46280</v>
      </c>
      <c r="D1" s="7" t="s">
        <v>0</v>
      </c>
      <c r="E1" s="8">
        <v>46286</v>
      </c>
      <c r="G1" s="7" t="s">
        <v>0</v>
      </c>
      <c r="H1" s="8"/>
      <c r="J1" s="7" t="s">
        <v>0</v>
      </c>
      <c r="K1" s="8"/>
    </row>
    <row r="2" ht="18.75" x14ac:dyDescent="0.25">
      <c r="A2" s="16"/>
      <c r="B2" s="17"/>
      <c r="D2" s="16"/>
      <c r="E2" s="17"/>
      <c r="G2" s="16"/>
      <c r="H2" s="17"/>
      <c r="J2" s="16"/>
      <c r="K2" s="17"/>
    </row>
    <row r="3" ht="15" customHeight="1" x14ac:dyDescent="0.25">
      <c r="A3" s="42" t="s">
        <v>1</v>
      </c>
      <c r="B3" s="42"/>
      <c r="D3" s="42" t="s">
        <v>1</v>
      </c>
      <c r="E3" s="42"/>
      <c r="G3" s="42" t="s">
        <v>1</v>
      </c>
      <c r="H3" s="42"/>
      <c r="J3" s="42" t="s">
        <v>1</v>
      </c>
      <c r="K3" s="42"/>
    </row>
    <row r="4" ht="18.75" x14ac:dyDescent="0.25">
      <c r="A4" s="5">
        <v>11</v>
      </c>
      <c r="B4" s="6" t="s">
        <v>2</v>
      </c>
      <c r="D4" s="5">
        <v>7</v>
      </c>
      <c r="E4" s="6" t="s">
        <v>2</v>
      </c>
      <c r="G4" s="5"/>
      <c r="H4" s="6" t="s">
        <v>2</v>
      </c>
      <c r="J4" s="5"/>
      <c r="K4" s="6" t="s">
        <v>2</v>
      </c>
    </row>
    <row r="5" ht="18.75" x14ac:dyDescent="0.25">
      <c r="A5" s="5">
        <v>3</v>
      </c>
      <c r="B5" s="6" t="s">
        <v>3</v>
      </c>
      <c r="D5" s="5">
        <v>6</v>
      </c>
      <c r="E5" s="6" t="s">
        <v>3</v>
      </c>
      <c r="G5" s="5"/>
      <c r="H5" s="6" t="s">
        <v>3</v>
      </c>
      <c r="J5" s="5"/>
      <c r="K5" s="6" t="s">
        <v>3</v>
      </c>
    </row>
    <row r="6" ht="18.75" x14ac:dyDescent="0.25">
      <c r="A6" s="5">
        <f>SUM(A4+A5)</f>
        <v>14</v>
      </c>
      <c r="B6" s="6" t="s">
        <v>4</v>
      </c>
      <c r="D6" s="5">
        <f>SUM(D4+D5)</f>
        <v>13</v>
      </c>
      <c r="E6" s="6" t="s">
        <v>4</v>
      </c>
      <c r="G6" s="5">
        <f>SUM(G4+G5)</f>
        <v>0</v>
      </c>
      <c r="H6" s="6" t="s">
        <v>4</v>
      </c>
      <c r="J6" s="5">
        <f>SUM(J4+J5)</f>
        <v>0</v>
      </c>
      <c r="K6" s="6" t="s">
        <v>4</v>
      </c>
    </row>
    <row r="7" x14ac:dyDescent="0.25">
      <c r="A7" s="4"/>
    </row>
    <row r="8" ht="15" customHeight="1" x14ac:dyDescent="0.25">
      <c r="A8" s="43" t="s">
        <v>5</v>
      </c>
      <c r="B8" s="43"/>
      <c r="D8" s="43" t="s">
        <v>5</v>
      </c>
      <c r="E8" s="43"/>
      <c r="G8" s="43" t="s">
        <v>5</v>
      </c>
      <c r="H8" s="43"/>
      <c r="J8" s="43" t="s">
        <v>5</v>
      </c>
      <c r="K8" s="43"/>
    </row>
    <row r="9" ht="18.75" x14ac:dyDescent="0.25">
      <c r="A9" s="5">
        <v>32</v>
      </c>
      <c r="B9" s="6" t="s">
        <v>2</v>
      </c>
      <c r="D9" s="5">
        <v>38</v>
      </c>
      <c r="E9" s="6" t="s">
        <v>2</v>
      </c>
      <c r="G9" s="5"/>
      <c r="H9" s="6" t="s">
        <v>2</v>
      </c>
      <c r="J9" s="5"/>
      <c r="K9" s="6" t="s">
        <v>2</v>
      </c>
    </row>
    <row r="10" ht="18.75" x14ac:dyDescent="0.25">
      <c r="A10" s="5">
        <v>173</v>
      </c>
      <c r="B10" s="6" t="s">
        <v>3</v>
      </c>
      <c r="D10" s="5">
        <v>241</v>
      </c>
      <c r="E10" s="6" t="s">
        <v>3</v>
      </c>
      <c r="G10" s="5"/>
      <c r="H10" s="6" t="s">
        <v>3</v>
      </c>
      <c r="J10" s="5"/>
      <c r="K10" s="6" t="s">
        <v>3</v>
      </c>
    </row>
    <row r="11" ht="18.75" x14ac:dyDescent="0.25">
      <c r="A11" s="5">
        <f>SUM(A9+A10)</f>
        <v>205</v>
      </c>
      <c r="B11" s="6" t="s">
        <v>4</v>
      </c>
      <c r="D11" s="5">
        <f>SUM(D9+D10)</f>
        <v>279</v>
      </c>
      <c r="E11" s="6" t="s">
        <v>4</v>
      </c>
      <c r="G11" s="5">
        <f>SUM(G9+G10)</f>
        <v>0</v>
      </c>
      <c r="H11" s="6" t="s">
        <v>4</v>
      </c>
      <c r="J11" s="5">
        <f>SUM(J9+J10)</f>
        <v>0</v>
      </c>
      <c r="K11" s="6" t="s">
        <v>4</v>
      </c>
    </row>
    <row r="12" x14ac:dyDescent="0.25">
      <c r="D12" s="3"/>
    </row>
    <row r="13" ht="18.75" x14ac:dyDescent="0.25">
      <c r="A13" s="44" t="s">
        <v>6</v>
      </c>
      <c r="B13" s="44"/>
      <c r="D13" s="44" t="s">
        <v>6</v>
      </c>
      <c r="E13" s="44"/>
      <c r="G13" s="44" t="s">
        <v>6</v>
      </c>
      <c r="H13" s="44"/>
      <c r="J13" s="44" t="s">
        <v>6</v>
      </c>
      <c r="K13" s="44"/>
    </row>
    <row r="14" ht="18.75" x14ac:dyDescent="0.25">
      <c r="A14" s="5">
        <f>SUM(A6+A11)</f>
        <v>219</v>
      </c>
      <c r="B14" s="6" t="s">
        <v>7</v>
      </c>
      <c r="D14" s="5">
        <f>SUM(D6+D11)</f>
        <v>292</v>
      </c>
      <c r="E14" s="6" t="s">
        <v>7</v>
      </c>
      <c r="G14" s="5">
        <f>SUM(G6+G11)</f>
        <v>0</v>
      </c>
      <c r="H14" s="6" t="s">
        <v>7</v>
      </c>
      <c r="J14" s="5">
        <f>SUM(J6+J11)</f>
        <v>0</v>
      </c>
      <c r="K14" s="6" t="s">
        <v>7</v>
      </c>
    </row>
    <row r="15" x14ac:dyDescent="0.25">
      <c r="D15" s="3"/>
    </row>
    <row r="16">
      <c r="A16" s="31" t="inlineStr">
        <is>
          <t>Yellow cells = type this week's numbers here, from Aptean EAM &gt; Open Work Orders: the date, then repair tickets and PMs for each plant.</t>
        </is>
      </c>
    </row>
    <row r="17">
      <c r="A17" s="31" t="inlineStr">
        <is>
          <t>When the empty blocks are used up: copy the newest block (for example J1:K14), paste it 3 columns to the right (M1), and fill in the yellow cells. The chart on Sheet1 updates by itself.</t>
        </is>
      </c>
    </row>
  </sheetData>
  <mergeCells count="12">
    <mergeCell ref="A3:B3"/>
    <mergeCell ref="A8:B8"/>
    <mergeCell ref="A13:B13"/>
    <mergeCell ref="D3:E3"/>
    <mergeCell ref="D8:E8"/>
    <mergeCell ref="D13:E13"/>
    <mergeCell ref="G3:H3"/>
    <mergeCell ref="G8:H8"/>
    <mergeCell ref="G13:H13"/>
    <mergeCell ref="J3:K3"/>
    <mergeCell ref="J8:K8"/>
    <mergeCell ref="J13:K13"/>
  </mergeCells>
  <conditionalFormatting sqref="A1:ZZ1">
    <cfRule type="expression" dxfId="18" priority="1">
      <formula>AND(ISBLANK(A1),MOD(COLUMN(A1)-2,3)=0,INDEX($3:$3,1,COLUMN(A1)-1)&lt;&gt;"")</formula>
    </cfRule>
  </conditionalFormatting>
  <conditionalFormatting sqref="A4:ZZ5">
    <cfRule type="expression" dxfId="18" priority="2">
      <formula>AND(ISBLANK(A4),MOD(COLUMN(A4)-1,3)=0,INDEX($3:$3,1,COLUMN(A4))&lt;&gt;"")</formula>
    </cfRule>
  </conditionalFormatting>
  <conditionalFormatting sqref="A9:ZZ10">
    <cfRule type="expression" dxfId="18" priority="3">
      <formula>AND(ISBLANK(A9),MOD(COLUMN(A9)-1,3)=0,INDEX($3:$3,1,COLUMN(A9))&lt;&gt;"")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E489-8187-49B9-8AA2-7AB51891C5DB}">
  <sheetPr>
    <pageSetUpPr fitToPage="1"/>
  </sheetPr>
  <dimension ref="A1:I47"/>
  <sheetViews>
    <sheetView showGridLines="0" zoomScaleNormal="100" workbookViewId="0">
      <selection activeCell="B26" sqref="B26"/>
    </sheetView>
  </sheetViews>
  <sheetFormatPr defaultRowHeight="15" x14ac:dyDescent="0.25"/>
  <cols>
    <col min="1" max="1" width="13.7109375" customWidth="1"/>
    <col min="2" max="2" width="23" customWidth="1"/>
    <col min="3" max="4" width="15.7109375" customWidth="1"/>
    <col min="5" max="5" width="22.140625" customWidth="1"/>
    <col min="6" max="7" width="15.7109375" customWidth="1"/>
    <col min="8" max="8" width="16.28515625" customWidth="1"/>
    <col min="9" max="9" width="20.42578125" customWidth="1"/>
  </cols>
  <sheetData>
    <row r="1" spans="1:1" ht="25.9" customHeight="1" x14ac:dyDescent="0.35">
      <c r="A1" s="32" t="s">
        <v>8</v>
      </c>
    </row>
    <row r="2" spans="1:1" x14ac:dyDescent="0.25">
      <c r="A2" s="33" t="inlineStr">
        <is>
          <t>Updates by itself from the Totals page: each dated block there (every 3 columns: A, D, G, J, M ...) is one week.</t>
        </is>
      </c>
    </row>
    <row r="21" spans="1:9" ht="31.9" customHeight="1" x14ac:dyDescent="0.25">
      <c r="A21" s="34" t="s">
        <v>9</v>
      </c>
      <c r="B21" s="35" t="s">
        <v>10</v>
      </c>
      <c r="C21" s="35" t="s">
        <v>11</v>
      </c>
      <c r="D21" s="35" t="s">
        <v>12</v>
      </c>
      <c r="E21" s="36" t="s">
        <v>13</v>
      </c>
      <c r="F21" s="36" t="s">
        <v>14</v>
      </c>
      <c r="G21" s="36" t="s">
        <v>15</v>
      </c>
      <c r="H21" s="37" t="s">
        <v>16</v>
      </c>
      <c r="I21" s="37" t="s">
        <v>17</v>
      </c>
    </row>
    <row r="22">
      <c r="A22" s="39">
        <f>IFERROR(INDEX(Totals!$1:$1,_xlfn.AGGREGATE(15,6,COLUMN(Totals!$A$1:$ZZ$1)/((MOD(COLUMN(Totals!$A$1:$ZZ$1)-2,3)=0)*ISNUMBER(Totals!$A$1:$ZZ$1)),(ROW()-ROW(WeeklyLog[[#Headers],[Week Of]])))),"")</f>
        <v>46280</v>
      </c>
      <c r="B22" s="38">
        <f>IFERROR(INDEX(Totals!$4:$4,_xlfn.AGGREGATE(15,6,COLUMN(Totals!$A$1:$ZZ$1)/((MOD(COLUMN(Totals!$A$1:$ZZ$1)-2,3)=0)*ISNUMBER(Totals!$A$1:$ZZ$1)),(ROW()-ROW(WeeklyLog[[#Headers],[Week Of]])))-1),"")</f>
        <v>11</v>
      </c>
      <c r="C22" s="38">
        <f>IFERROR(INDEX(Totals!$5:$5,_xlfn.AGGREGATE(15,6,COLUMN(Totals!$A$1:$ZZ$1)/((MOD(COLUMN(Totals!$A$1:$ZZ$1)-2,3)=0)*ISNUMBER(Totals!$A$1:$ZZ$1)),(ROW()-ROW(WeeklyLog[[#Headers],[Week Of]])))-1),"")</f>
        <v>3</v>
      </c>
      <c r="D22" s="40">
        <f>IF(WeeklyLog[[#This Row],[Week Of]]="","",WeeklyLog[[#This Row],[Burnsville Repair Tickets]]+WeeklyLog[[#This Row],[Burnsville PMs]])</f>
        <v>14</v>
      </c>
      <c r="E22" s="38">
        <f>IFERROR(INDEX(Totals!$9:$9,_xlfn.AGGREGATE(15,6,COLUMN(Totals!$A$1:$ZZ$1)/((MOD(COLUMN(Totals!$A$1:$ZZ$1)-2,3)=0)*ISNUMBER(Totals!$A$1:$ZZ$1)),(ROW()-ROW(WeeklyLog[[#Headers],[Week Of]])))-1),"")</f>
        <v>32</v>
      </c>
      <c r="F22" s="38">
        <f>IFERROR(INDEX(Totals!$10:$10,_xlfn.AGGREGATE(15,6,COLUMN(Totals!$A$1:$ZZ$1)/((MOD(COLUMN(Totals!$A$1:$ZZ$1)-2,3)=0)*ISNUMBER(Totals!$A$1:$ZZ$1)),(ROW()-ROW(WeeklyLog[[#Headers],[Week Of]])))-1),"")</f>
        <v>173</v>
      </c>
      <c r="G22" s="40">
        <f>IF(WeeklyLog[[#This Row],[Week Of]]="","",WeeklyLog[[#This Row],[Lakeville Repair Tickets]]+WeeklyLog[[#This Row],[Lakeville PMs]])</f>
        <v>205</v>
      </c>
      <c r="H22" s="40">
        <f>IF(WeeklyLog[[#This Row],[Week Of]]="","",WeeklyLog[[#This Row],[Burnsville Total]]+WeeklyLog[[#This Row],[Lakeville Total]])</f>
        <v>219</v>
      </c>
      <c r="I22" s="41" t="str">
        <f ca="1">IFERROR(WeeklyLog[[#This Row],[Combined Total]]-OFFSET(WeeklyLog[[#This Row],[Combined Total]],-1,0),"")</f>
        <v/>
      </c>
    </row>
    <row r="23">
      <c r="A23" s="39">
        <f>IFERROR(INDEX(Totals!$1:$1,_xlfn.AGGREGATE(15,6,COLUMN(Totals!$A$1:$ZZ$1)/((MOD(COLUMN(Totals!$A$1:$ZZ$1)-2,3)=0)*ISNUMBER(Totals!$A$1:$ZZ$1)),(ROW()-ROW(WeeklyLog[[#Headers],[Week Of]])))),"")</f>
        <v>46286</v>
      </c>
      <c r="B23" s="38">
        <f>IFERROR(INDEX(Totals!$4:$4,_xlfn.AGGREGATE(15,6,COLUMN(Totals!$A$1:$ZZ$1)/((MOD(COLUMN(Totals!$A$1:$ZZ$1)-2,3)=0)*ISNUMBER(Totals!$A$1:$ZZ$1)),(ROW()-ROW(WeeklyLog[[#Headers],[Week Of]])))-1),"")</f>
        <v>7</v>
      </c>
      <c r="C23" s="38">
        <f>IFERROR(INDEX(Totals!$5:$5,_xlfn.AGGREGATE(15,6,COLUMN(Totals!$A$1:$ZZ$1)/((MOD(COLUMN(Totals!$A$1:$ZZ$1)-2,3)=0)*ISNUMBER(Totals!$A$1:$ZZ$1)),(ROW()-ROW(WeeklyLog[[#Headers],[Week Of]])))-1),"")</f>
        <v>6</v>
      </c>
      <c r="D23" s="40">
        <f>IF(WeeklyLog[[#This Row],[Week Of]]="","",WeeklyLog[[#This Row],[Burnsville Repair Tickets]]+WeeklyLog[[#This Row],[Burnsville PMs]])</f>
        <v>13</v>
      </c>
      <c r="E23" s="38">
        <f>IFERROR(INDEX(Totals!$9:$9,_xlfn.AGGREGATE(15,6,COLUMN(Totals!$A$1:$ZZ$1)/((MOD(COLUMN(Totals!$A$1:$ZZ$1)-2,3)=0)*ISNUMBER(Totals!$A$1:$ZZ$1)),(ROW()-ROW(WeeklyLog[[#Headers],[Week Of]])))-1),"")</f>
        <v>38</v>
      </c>
      <c r="F23" s="38">
        <f>IFERROR(INDEX(Totals!$10:$10,_xlfn.AGGREGATE(15,6,COLUMN(Totals!$A$1:$ZZ$1)/((MOD(COLUMN(Totals!$A$1:$ZZ$1)-2,3)=0)*ISNUMBER(Totals!$A$1:$ZZ$1)),(ROW()-ROW(WeeklyLog[[#Headers],[Week Of]])))-1),"")</f>
        <v>241</v>
      </c>
      <c r="G23" s="40">
        <f>IF(WeeklyLog[[#This Row],[Week Of]]="","",WeeklyLog[[#This Row],[Lakeville Repair Tickets]]+WeeklyLog[[#This Row],[Lakeville PMs]])</f>
        <v>279</v>
      </c>
      <c r="H23" s="40">
        <f>IF(WeeklyLog[[#This Row],[Week Of]]="","",WeeklyLog[[#This Row],[Burnsville Total]]+WeeklyLog[[#This Row],[Lakeville Total]])</f>
        <v>292</v>
      </c>
      <c r="I23" s="41">
        <f ca="1">IFERROR(WeeklyLog[[#This Row],[Combined Total]]-OFFSET(WeeklyLog[[#This Row],[Combined Total]],-1,0),"")</f>
        <v>73</v>
      </c>
    </row>
    <row r="24">
      <c r="A24" s="39" t="str">
        <f>IFERROR(INDEX(Totals!$1:$1,_xlfn.AGGREGATE(15,6,COLUMN(Totals!$A$1:$ZZ$1)/((MOD(COLUMN(Totals!$A$1:$ZZ$1)-2,3)=0)*ISNUMBER(Totals!$A$1:$ZZ$1)),(ROW()-ROW(WeeklyLog[[#Headers],[Week Of]])))),"")</f>
        <v/>
      </c>
      <c r="B24" s="38" t="str">
        <f>IFERROR(INDEX(Totals!$4:$4,_xlfn.AGGREGATE(15,6,COLUMN(Totals!$A$1:$ZZ$1)/((MOD(COLUMN(Totals!$A$1:$ZZ$1)-2,3)=0)*ISNUMBER(Totals!$A$1:$ZZ$1)),(ROW()-ROW(WeeklyLog[[#Headers],[Week Of]])))-1),"")</f>
        <v/>
      </c>
      <c r="C24" s="38" t="str">
        <f>IFERROR(INDEX(Totals!$5:$5,_xlfn.AGGREGATE(15,6,COLUMN(Totals!$A$1:$ZZ$1)/((MOD(COLUMN(Totals!$A$1:$ZZ$1)-2,3)=0)*ISNUMBER(Totals!$A$1:$ZZ$1)),(ROW()-ROW(WeeklyLog[[#Headers],[Week Of]])))-1),"")</f>
        <v/>
      </c>
      <c r="D24" s="40" t="str">
        <f>IF(WeeklyLog[[#This Row],[Week Of]]="","",WeeklyLog[[#This Row],[Burnsville Repair Tickets]]+WeeklyLog[[#This Row],[Burnsville PMs]])</f>
        <v/>
      </c>
      <c r="E24" s="38" t="str">
        <f>IFERROR(INDEX(Totals!$9:$9,_xlfn.AGGREGATE(15,6,COLUMN(Totals!$A$1:$ZZ$1)/((MOD(COLUMN(Totals!$A$1:$ZZ$1)-2,3)=0)*ISNUMBER(Totals!$A$1:$ZZ$1)),(ROW()-ROW(WeeklyLog[[#Headers],[Week Of]])))-1),"")</f>
        <v/>
      </c>
      <c r="F24" s="38" t="str">
        <f>IFERROR(INDEX(Totals!$10:$10,_xlfn.AGGREGATE(15,6,COLUMN(Totals!$A$1:$ZZ$1)/((MOD(COLUMN(Totals!$A$1:$ZZ$1)-2,3)=0)*ISNUMBER(Totals!$A$1:$ZZ$1)),(ROW()-ROW(WeeklyLog[[#Headers],[Week Of]])))-1),"")</f>
        <v/>
      </c>
      <c r="G24" s="40" t="str">
        <f>IF(WeeklyLog[[#This Row],[Week Of]]="","",WeeklyLog[[#This Row],[Lakeville Repair Tickets]]+WeeklyLog[[#This Row],[Lakeville PMs]])</f>
        <v/>
      </c>
      <c r="H24" s="40" t="str">
        <f>IF(WeeklyLog[[#This Row],[Week Of]]="","",WeeklyLog[[#This Row],[Burnsville Total]]+WeeklyLog[[#This Row],[Lakeville Total]])</f>
        <v/>
      </c>
      <c r="I24" s="41" t="str">
        <f ca="1">IFERROR(WeeklyLog[[#This Row],[Combined Total]]-OFFSET(WeeklyLog[[#This Row],[Combined Total]],-1,0),"")</f>
        <v/>
      </c>
    </row>
    <row r="25">
      <c r="A25" s="39" t="str">
        <f>IFERROR(INDEX(Totals!$1:$1,_xlfn.AGGREGATE(15,6,COLUMN(Totals!$A$1:$ZZ$1)/((MOD(COLUMN(Totals!$A$1:$ZZ$1)-2,3)=0)*ISNUMBER(Totals!$A$1:$ZZ$1)),(ROW()-ROW(WeeklyLog[[#Headers],[Week Of]])))),"")</f>
        <v/>
      </c>
      <c r="B25" s="38" t="str">
        <f>IFERROR(INDEX(Totals!$4:$4,_xlfn.AGGREGATE(15,6,COLUMN(Totals!$A$1:$ZZ$1)/((MOD(COLUMN(Totals!$A$1:$ZZ$1)-2,3)=0)*ISNUMBER(Totals!$A$1:$ZZ$1)),(ROW()-ROW(WeeklyLog[[#Headers],[Week Of]])))-1),"")</f>
        <v/>
      </c>
      <c r="C25" s="38" t="str">
        <f>IFERROR(INDEX(Totals!$5:$5,_xlfn.AGGREGATE(15,6,COLUMN(Totals!$A$1:$ZZ$1)/((MOD(COLUMN(Totals!$A$1:$ZZ$1)-2,3)=0)*ISNUMBER(Totals!$A$1:$ZZ$1)),(ROW()-ROW(WeeklyLog[[#Headers],[Week Of]])))-1),"")</f>
        <v/>
      </c>
      <c r="D25" s="40" t="str">
        <f>IF(WeeklyLog[[#This Row],[Week Of]]="","",WeeklyLog[[#This Row],[Burnsville Repair Tickets]]+WeeklyLog[[#This Row],[Burnsville PMs]])</f>
        <v/>
      </c>
      <c r="E25" s="38" t="str">
        <f>IFERROR(INDEX(Totals!$9:$9,_xlfn.AGGREGATE(15,6,COLUMN(Totals!$A$1:$ZZ$1)/((MOD(COLUMN(Totals!$A$1:$ZZ$1)-2,3)=0)*ISNUMBER(Totals!$A$1:$ZZ$1)),(ROW()-ROW(WeeklyLog[[#Headers],[Week Of]])))-1),"")</f>
        <v/>
      </c>
      <c r="F25" s="38" t="str">
        <f>IFERROR(INDEX(Totals!$10:$10,_xlfn.AGGREGATE(15,6,COLUMN(Totals!$A$1:$ZZ$1)/((MOD(COLUMN(Totals!$A$1:$ZZ$1)-2,3)=0)*ISNUMBER(Totals!$A$1:$ZZ$1)),(ROW()-ROW(WeeklyLog[[#Headers],[Week Of]])))-1),"")</f>
        <v/>
      </c>
      <c r="G25" s="40" t="str">
        <f>IF(WeeklyLog[[#This Row],[Week Of]]="","",WeeklyLog[[#This Row],[Lakeville Repair Tickets]]+WeeklyLog[[#This Row],[Lakeville PMs]])</f>
        <v/>
      </c>
      <c r="H25" s="40" t="str">
        <f>IF(WeeklyLog[[#This Row],[Week Of]]="","",WeeklyLog[[#This Row],[Burnsville Total]]+WeeklyLog[[#This Row],[Lakeville Total]])</f>
        <v/>
      </c>
      <c r="I25" s="41" t="str">
        <f ca="1">IFERROR(WeeklyLog[[#This Row],[Combined Total]]-OFFSET(WeeklyLog[[#This Row],[Combined Total]],-1,0),"")</f>
        <v/>
      </c>
    </row>
    <row r="26">
      <c r="A26" s="39" t="str">
        <f>IFERROR(INDEX(Totals!$1:$1,_xlfn.AGGREGATE(15,6,COLUMN(Totals!$A$1:$ZZ$1)/((MOD(COLUMN(Totals!$A$1:$ZZ$1)-2,3)=0)*ISNUMBER(Totals!$A$1:$ZZ$1)),(ROW()-ROW(WeeklyLog[[#Headers],[Week Of]])))),"")</f>
        <v/>
      </c>
      <c r="B26" s="38" t="str">
        <f>IFERROR(INDEX(Totals!$4:$4,_xlfn.AGGREGATE(15,6,COLUMN(Totals!$A$1:$ZZ$1)/((MOD(COLUMN(Totals!$A$1:$ZZ$1)-2,3)=0)*ISNUMBER(Totals!$A$1:$ZZ$1)),(ROW()-ROW(WeeklyLog[[#Headers],[Week Of]])))-1),"")</f>
        <v/>
      </c>
      <c r="C26" s="38" t="str">
        <f>IFERROR(INDEX(Totals!$5:$5,_xlfn.AGGREGATE(15,6,COLUMN(Totals!$A$1:$ZZ$1)/((MOD(COLUMN(Totals!$A$1:$ZZ$1)-2,3)=0)*ISNUMBER(Totals!$A$1:$ZZ$1)),(ROW()-ROW(WeeklyLog[[#Headers],[Week Of]])))-1),"")</f>
        <v/>
      </c>
      <c r="D26" s="40" t="str">
        <f>IF(WeeklyLog[[#This Row],[Week Of]]="","",WeeklyLog[[#This Row],[Burnsville Repair Tickets]]+WeeklyLog[[#This Row],[Burnsville PMs]])</f>
        <v/>
      </c>
      <c r="E26" s="38" t="str">
        <f>IFERROR(INDEX(Totals!$9:$9,_xlfn.AGGREGATE(15,6,COLUMN(Totals!$A$1:$ZZ$1)/((MOD(COLUMN(Totals!$A$1:$ZZ$1)-2,3)=0)*ISNUMBER(Totals!$A$1:$ZZ$1)),(ROW()-ROW(WeeklyLog[[#Headers],[Week Of]])))-1),"")</f>
        <v/>
      </c>
      <c r="F26" s="38" t="str">
        <f>IFERROR(INDEX(Totals!$10:$10,_xlfn.AGGREGATE(15,6,COLUMN(Totals!$A$1:$ZZ$1)/((MOD(COLUMN(Totals!$A$1:$ZZ$1)-2,3)=0)*ISNUMBER(Totals!$A$1:$ZZ$1)),(ROW()-ROW(WeeklyLog[[#Headers],[Week Of]])))-1),"")</f>
        <v/>
      </c>
      <c r="G26" s="40" t="str">
        <f>IF(WeeklyLog[[#This Row],[Week Of]]="","",WeeklyLog[[#This Row],[Lakeville Repair Tickets]]+WeeklyLog[[#This Row],[Lakeville PMs]])</f>
        <v/>
      </c>
      <c r="H26" s="40" t="str">
        <f>IF(WeeklyLog[[#This Row],[Week Of]]="","",WeeklyLog[[#This Row],[Burnsville Total]]+WeeklyLog[[#This Row],[Lakeville Total]])</f>
        <v/>
      </c>
      <c r="I26" s="41" t="str">
        <f ca="1">IFERROR(WeeklyLog[[#This Row],[Combined Total]]-OFFSET(WeeklyLog[[#This Row],[Combined Total]],-1,0),"")</f>
        <v/>
      </c>
    </row>
    <row r="27">
      <c r="A27" s="39" t="str">
        <f>IFERROR(INDEX(Totals!$1:$1,_xlfn.AGGREGATE(15,6,COLUMN(Totals!$A$1:$ZZ$1)/((MOD(COLUMN(Totals!$A$1:$ZZ$1)-2,3)=0)*ISNUMBER(Totals!$A$1:$ZZ$1)),(ROW()-ROW(WeeklyLog[[#Headers],[Week Of]])))),"")</f>
        <v/>
      </c>
      <c r="B27" s="38" t="str">
        <f>IFERROR(INDEX(Totals!$4:$4,_xlfn.AGGREGATE(15,6,COLUMN(Totals!$A$1:$ZZ$1)/((MOD(COLUMN(Totals!$A$1:$ZZ$1)-2,3)=0)*ISNUMBER(Totals!$A$1:$ZZ$1)),(ROW()-ROW(WeeklyLog[[#Headers],[Week Of]])))-1),"")</f>
        <v/>
      </c>
      <c r="C27" s="38" t="str">
        <f>IFERROR(INDEX(Totals!$5:$5,_xlfn.AGGREGATE(15,6,COLUMN(Totals!$A$1:$ZZ$1)/((MOD(COLUMN(Totals!$A$1:$ZZ$1)-2,3)=0)*ISNUMBER(Totals!$A$1:$ZZ$1)),(ROW()-ROW(WeeklyLog[[#Headers],[Week Of]])))-1),"")</f>
        <v/>
      </c>
      <c r="D27" s="40" t="str">
        <f>IF(WeeklyLog[[#This Row],[Week Of]]="","",WeeklyLog[[#This Row],[Burnsville Repair Tickets]]+WeeklyLog[[#This Row],[Burnsville PMs]])</f>
        <v/>
      </c>
      <c r="E27" s="38" t="str">
        <f>IFERROR(INDEX(Totals!$9:$9,_xlfn.AGGREGATE(15,6,COLUMN(Totals!$A$1:$ZZ$1)/((MOD(COLUMN(Totals!$A$1:$ZZ$1)-2,3)=0)*ISNUMBER(Totals!$A$1:$ZZ$1)),(ROW()-ROW(WeeklyLog[[#Headers],[Week Of]])))-1),"")</f>
        <v/>
      </c>
      <c r="F27" s="38" t="str">
        <f>IFERROR(INDEX(Totals!$10:$10,_xlfn.AGGREGATE(15,6,COLUMN(Totals!$A$1:$ZZ$1)/((MOD(COLUMN(Totals!$A$1:$ZZ$1)-2,3)=0)*ISNUMBER(Totals!$A$1:$ZZ$1)),(ROW()-ROW(WeeklyLog[[#Headers],[Week Of]])))-1),"")</f>
        <v/>
      </c>
      <c r="G27" s="40" t="str">
        <f>IF(WeeklyLog[[#This Row],[Week Of]]="","",WeeklyLog[[#This Row],[Lakeville Repair Tickets]]+WeeklyLog[[#This Row],[Lakeville PMs]])</f>
        <v/>
      </c>
      <c r="H27" s="40" t="str">
        <f>IF(WeeklyLog[[#This Row],[Week Of]]="","",WeeklyLog[[#This Row],[Burnsville Total]]+WeeklyLog[[#This Row],[Lakeville Total]])</f>
        <v/>
      </c>
      <c r="I27" s="41" t="str">
        <f ca="1">IFERROR(WeeklyLog[[#This Row],[Combined Total]]-OFFSET(WeeklyLog[[#This Row],[Combined Total]],-1,0),"")</f>
        <v/>
      </c>
    </row>
    <row r="28">
      <c r="A28" s="39" t="str">
        <f>IFERROR(INDEX(Totals!$1:$1,_xlfn.AGGREGATE(15,6,COLUMN(Totals!$A$1:$ZZ$1)/((MOD(COLUMN(Totals!$A$1:$ZZ$1)-2,3)=0)*ISNUMBER(Totals!$A$1:$ZZ$1)),(ROW()-ROW(WeeklyLog[[#Headers],[Week Of]])))),"")</f>
        <v/>
      </c>
      <c r="B28" s="38" t="str">
        <f>IFERROR(INDEX(Totals!$4:$4,_xlfn.AGGREGATE(15,6,COLUMN(Totals!$A$1:$ZZ$1)/((MOD(COLUMN(Totals!$A$1:$ZZ$1)-2,3)=0)*ISNUMBER(Totals!$A$1:$ZZ$1)),(ROW()-ROW(WeeklyLog[[#Headers],[Week Of]])))-1),"")</f>
        <v/>
      </c>
      <c r="C28" s="38" t="str">
        <f>IFERROR(INDEX(Totals!$5:$5,_xlfn.AGGREGATE(15,6,COLUMN(Totals!$A$1:$ZZ$1)/((MOD(COLUMN(Totals!$A$1:$ZZ$1)-2,3)=0)*ISNUMBER(Totals!$A$1:$ZZ$1)),(ROW()-ROW(WeeklyLog[[#Headers],[Week Of]])))-1),"")</f>
        <v/>
      </c>
      <c r="D28" s="40" t="str">
        <f>IF(WeeklyLog[[#This Row],[Week Of]]="","",WeeklyLog[[#This Row],[Burnsville Repair Tickets]]+WeeklyLog[[#This Row],[Burnsville PMs]])</f>
        <v/>
      </c>
      <c r="E28" s="38" t="str">
        <f>IFERROR(INDEX(Totals!$9:$9,_xlfn.AGGREGATE(15,6,COLUMN(Totals!$A$1:$ZZ$1)/((MOD(COLUMN(Totals!$A$1:$ZZ$1)-2,3)=0)*ISNUMBER(Totals!$A$1:$ZZ$1)),(ROW()-ROW(WeeklyLog[[#Headers],[Week Of]])))-1),"")</f>
        <v/>
      </c>
      <c r="F28" s="38" t="str">
        <f>IFERROR(INDEX(Totals!$10:$10,_xlfn.AGGREGATE(15,6,COLUMN(Totals!$A$1:$ZZ$1)/((MOD(COLUMN(Totals!$A$1:$ZZ$1)-2,3)=0)*ISNUMBER(Totals!$A$1:$ZZ$1)),(ROW()-ROW(WeeklyLog[[#Headers],[Week Of]])))-1),"")</f>
        <v/>
      </c>
      <c r="G28" s="40" t="str">
        <f>IF(WeeklyLog[[#This Row],[Week Of]]="","",WeeklyLog[[#This Row],[Lakeville Repair Tickets]]+WeeklyLog[[#This Row],[Lakeville PMs]])</f>
        <v/>
      </c>
      <c r="H28" s="40" t="str">
        <f>IF(WeeklyLog[[#This Row],[Week Of]]="","",WeeklyLog[[#This Row],[Burnsville Total]]+WeeklyLog[[#This Row],[Lakeville Total]])</f>
        <v/>
      </c>
      <c r="I28" s="41" t="str">
        <f ca="1">IFERROR(WeeklyLog[[#This Row],[Combined Total]]-OFFSET(WeeklyLog[[#This Row],[Combined Total]],-1,0),"")</f>
        <v/>
      </c>
    </row>
    <row r="29">
      <c r="A29" s="39" t="str">
        <f>IFERROR(INDEX(Totals!$1:$1,_xlfn.AGGREGATE(15,6,COLUMN(Totals!$A$1:$ZZ$1)/((MOD(COLUMN(Totals!$A$1:$ZZ$1)-2,3)=0)*ISNUMBER(Totals!$A$1:$ZZ$1)),(ROW()-ROW(WeeklyLog[[#Headers],[Week Of]])))),"")</f>
        <v/>
      </c>
      <c r="B29" s="38" t="str">
        <f>IFERROR(INDEX(Totals!$4:$4,_xlfn.AGGREGATE(15,6,COLUMN(Totals!$A$1:$ZZ$1)/((MOD(COLUMN(Totals!$A$1:$ZZ$1)-2,3)=0)*ISNUMBER(Totals!$A$1:$ZZ$1)),(ROW()-ROW(WeeklyLog[[#Headers],[Week Of]])))-1),"")</f>
        <v/>
      </c>
      <c r="C29" s="38" t="str">
        <f>IFERROR(INDEX(Totals!$5:$5,_xlfn.AGGREGATE(15,6,COLUMN(Totals!$A$1:$ZZ$1)/((MOD(COLUMN(Totals!$A$1:$ZZ$1)-2,3)=0)*ISNUMBER(Totals!$A$1:$ZZ$1)),(ROW()-ROW(WeeklyLog[[#Headers],[Week Of]])))-1),"")</f>
        <v/>
      </c>
      <c r="D29" s="40" t="str">
        <f>IF(WeeklyLog[[#This Row],[Week Of]]="","",WeeklyLog[[#This Row],[Burnsville Repair Tickets]]+WeeklyLog[[#This Row],[Burnsville PMs]])</f>
        <v/>
      </c>
      <c r="E29" s="38" t="str">
        <f>IFERROR(INDEX(Totals!$9:$9,_xlfn.AGGREGATE(15,6,COLUMN(Totals!$A$1:$ZZ$1)/((MOD(COLUMN(Totals!$A$1:$ZZ$1)-2,3)=0)*ISNUMBER(Totals!$A$1:$ZZ$1)),(ROW()-ROW(WeeklyLog[[#Headers],[Week Of]])))-1),"")</f>
        <v/>
      </c>
      <c r="F29" s="38" t="str">
        <f>IFERROR(INDEX(Totals!$10:$10,_xlfn.AGGREGATE(15,6,COLUMN(Totals!$A$1:$ZZ$1)/((MOD(COLUMN(Totals!$A$1:$ZZ$1)-2,3)=0)*ISNUMBER(Totals!$A$1:$ZZ$1)),(ROW()-ROW(WeeklyLog[[#Headers],[Week Of]])))-1),"")</f>
        <v/>
      </c>
      <c r="G29" s="40" t="str">
        <f>IF(WeeklyLog[[#This Row],[Week Of]]="","",WeeklyLog[[#This Row],[Lakeville Repair Tickets]]+WeeklyLog[[#This Row],[Lakeville PMs]])</f>
        <v/>
      </c>
      <c r="H29" s="40" t="str">
        <f>IF(WeeklyLog[[#This Row],[Week Of]]="","",WeeklyLog[[#This Row],[Burnsville Total]]+WeeklyLog[[#This Row],[Lakeville Total]])</f>
        <v/>
      </c>
      <c r="I29" s="41" t="str">
        <f ca="1">IFERROR(WeeklyLog[[#This Row],[Combined Total]]-OFFSET(WeeklyLog[[#This Row],[Combined Total]],-1,0),"")</f>
        <v/>
      </c>
    </row>
    <row r="30">
      <c r="A30" s="39" t="str">
        <f>IFERROR(INDEX(Totals!$1:$1,_xlfn.AGGREGATE(15,6,COLUMN(Totals!$A$1:$ZZ$1)/((MOD(COLUMN(Totals!$A$1:$ZZ$1)-2,3)=0)*ISNUMBER(Totals!$A$1:$ZZ$1)),(ROW()-ROW(WeeklyLog[[#Headers],[Week Of]])))),"")</f>
        <v/>
      </c>
      <c r="B30" s="38" t="str">
        <f>IFERROR(INDEX(Totals!$4:$4,_xlfn.AGGREGATE(15,6,COLUMN(Totals!$A$1:$ZZ$1)/((MOD(COLUMN(Totals!$A$1:$ZZ$1)-2,3)=0)*ISNUMBER(Totals!$A$1:$ZZ$1)),(ROW()-ROW(WeeklyLog[[#Headers],[Week Of]])))-1),"")</f>
        <v/>
      </c>
      <c r="C30" s="38" t="str">
        <f>IFERROR(INDEX(Totals!$5:$5,_xlfn.AGGREGATE(15,6,COLUMN(Totals!$A$1:$ZZ$1)/((MOD(COLUMN(Totals!$A$1:$ZZ$1)-2,3)=0)*ISNUMBER(Totals!$A$1:$ZZ$1)),(ROW()-ROW(WeeklyLog[[#Headers],[Week Of]])))-1),"")</f>
        <v/>
      </c>
      <c r="D30" s="40" t="str">
        <f>IF(WeeklyLog[[#This Row],[Week Of]]="","",WeeklyLog[[#This Row],[Burnsville Repair Tickets]]+WeeklyLog[[#This Row],[Burnsville PMs]])</f>
        <v/>
      </c>
      <c r="E30" s="38" t="str">
        <f>IFERROR(INDEX(Totals!$9:$9,_xlfn.AGGREGATE(15,6,COLUMN(Totals!$A$1:$ZZ$1)/((MOD(COLUMN(Totals!$A$1:$ZZ$1)-2,3)=0)*ISNUMBER(Totals!$A$1:$ZZ$1)),(ROW()-ROW(WeeklyLog[[#Headers],[Week Of]])))-1),"")</f>
        <v/>
      </c>
      <c r="F30" s="38" t="str">
        <f>IFERROR(INDEX(Totals!$10:$10,_xlfn.AGGREGATE(15,6,COLUMN(Totals!$A$1:$ZZ$1)/((MOD(COLUMN(Totals!$A$1:$ZZ$1)-2,3)=0)*ISNUMBER(Totals!$A$1:$ZZ$1)),(ROW()-ROW(WeeklyLog[[#Headers],[Week Of]])))-1),"")</f>
        <v/>
      </c>
      <c r="G30" s="40" t="str">
        <f>IF(WeeklyLog[[#This Row],[Week Of]]="","",WeeklyLog[[#This Row],[Lakeville Repair Tickets]]+WeeklyLog[[#This Row],[Lakeville PMs]])</f>
        <v/>
      </c>
      <c r="H30" s="40" t="str">
        <f>IF(WeeklyLog[[#This Row],[Week Of]]="","",WeeklyLog[[#This Row],[Burnsville Total]]+WeeklyLog[[#This Row],[Lakeville Total]])</f>
        <v/>
      </c>
      <c r="I30" s="41" t="str">
        <f ca="1">IFERROR(WeeklyLog[[#This Row],[Combined Total]]-OFFSET(WeeklyLog[[#This Row],[Combined Total]],-1,0),"")</f>
        <v/>
      </c>
    </row>
    <row r="31">
      <c r="A31" s="39" t="str">
        <f>IFERROR(INDEX(Totals!$1:$1,_xlfn.AGGREGATE(15,6,COLUMN(Totals!$A$1:$ZZ$1)/((MOD(COLUMN(Totals!$A$1:$ZZ$1)-2,3)=0)*ISNUMBER(Totals!$A$1:$ZZ$1)),(ROW()-ROW(WeeklyLog[[#Headers],[Week Of]])))),"")</f>
        <v/>
      </c>
      <c r="B31" s="38" t="str">
        <f>IFERROR(INDEX(Totals!$4:$4,_xlfn.AGGREGATE(15,6,COLUMN(Totals!$A$1:$ZZ$1)/((MOD(COLUMN(Totals!$A$1:$ZZ$1)-2,3)=0)*ISNUMBER(Totals!$A$1:$ZZ$1)),(ROW()-ROW(WeeklyLog[[#Headers],[Week Of]])))-1),"")</f>
        <v/>
      </c>
      <c r="C31" s="38" t="str">
        <f>IFERROR(INDEX(Totals!$5:$5,_xlfn.AGGREGATE(15,6,COLUMN(Totals!$A$1:$ZZ$1)/((MOD(COLUMN(Totals!$A$1:$ZZ$1)-2,3)=0)*ISNUMBER(Totals!$A$1:$ZZ$1)),(ROW()-ROW(WeeklyLog[[#Headers],[Week Of]])))-1),"")</f>
        <v/>
      </c>
      <c r="D31" s="40" t="str">
        <f>IF(WeeklyLog[[#This Row],[Week Of]]="","",WeeklyLog[[#This Row],[Burnsville Repair Tickets]]+WeeklyLog[[#This Row],[Burnsville PMs]])</f>
        <v/>
      </c>
      <c r="E31" s="38" t="str">
        <f>IFERROR(INDEX(Totals!$9:$9,_xlfn.AGGREGATE(15,6,COLUMN(Totals!$A$1:$ZZ$1)/((MOD(COLUMN(Totals!$A$1:$ZZ$1)-2,3)=0)*ISNUMBER(Totals!$A$1:$ZZ$1)),(ROW()-ROW(WeeklyLog[[#Headers],[Week Of]])))-1),"")</f>
        <v/>
      </c>
      <c r="F31" s="38" t="str">
        <f>IFERROR(INDEX(Totals!$10:$10,_xlfn.AGGREGATE(15,6,COLUMN(Totals!$A$1:$ZZ$1)/((MOD(COLUMN(Totals!$A$1:$ZZ$1)-2,3)=0)*ISNUMBER(Totals!$A$1:$ZZ$1)),(ROW()-ROW(WeeklyLog[[#Headers],[Week Of]])))-1),"")</f>
        <v/>
      </c>
      <c r="G31" s="40" t="str">
        <f>IF(WeeklyLog[[#This Row],[Week Of]]="","",WeeklyLog[[#This Row],[Lakeville Repair Tickets]]+WeeklyLog[[#This Row],[Lakeville PMs]])</f>
        <v/>
      </c>
      <c r="H31" s="40" t="str">
        <f>IF(WeeklyLog[[#This Row],[Week Of]]="","",WeeklyLog[[#This Row],[Burnsville Total]]+WeeklyLog[[#This Row],[Lakeville Total]])</f>
        <v/>
      </c>
      <c r="I31" s="41" t="str">
        <f ca="1">IFERROR(WeeklyLog[[#This Row],[Combined Total]]-OFFSET(WeeklyLog[[#This Row],[Combined Total]],-1,0),"")</f>
        <v/>
      </c>
    </row>
    <row r="32">
      <c r="A32" s="39" t="str">
        <f>IFERROR(INDEX(Totals!$1:$1,_xlfn.AGGREGATE(15,6,COLUMN(Totals!$A$1:$ZZ$1)/((MOD(COLUMN(Totals!$A$1:$ZZ$1)-2,3)=0)*ISNUMBER(Totals!$A$1:$ZZ$1)),(ROW()-ROW(WeeklyLog[[#Headers],[Week Of]])))),"")</f>
        <v/>
      </c>
      <c r="B32" s="38" t="str">
        <f>IFERROR(INDEX(Totals!$4:$4,_xlfn.AGGREGATE(15,6,COLUMN(Totals!$A$1:$ZZ$1)/((MOD(COLUMN(Totals!$A$1:$ZZ$1)-2,3)=0)*ISNUMBER(Totals!$A$1:$ZZ$1)),(ROW()-ROW(WeeklyLog[[#Headers],[Week Of]])))-1),"")</f>
        <v/>
      </c>
      <c r="C32" s="38" t="str">
        <f>IFERROR(INDEX(Totals!$5:$5,_xlfn.AGGREGATE(15,6,COLUMN(Totals!$A$1:$ZZ$1)/((MOD(COLUMN(Totals!$A$1:$ZZ$1)-2,3)=0)*ISNUMBER(Totals!$A$1:$ZZ$1)),(ROW()-ROW(WeeklyLog[[#Headers],[Week Of]])))-1),"")</f>
        <v/>
      </c>
      <c r="D32" s="40" t="str">
        <f>IF(WeeklyLog[[#This Row],[Week Of]]="","",WeeklyLog[[#This Row],[Burnsville Repair Tickets]]+WeeklyLog[[#This Row],[Burnsville PMs]])</f>
        <v/>
      </c>
      <c r="E32" s="38" t="str">
        <f>IFERROR(INDEX(Totals!$9:$9,_xlfn.AGGREGATE(15,6,COLUMN(Totals!$A$1:$ZZ$1)/((MOD(COLUMN(Totals!$A$1:$ZZ$1)-2,3)=0)*ISNUMBER(Totals!$A$1:$ZZ$1)),(ROW()-ROW(WeeklyLog[[#Headers],[Week Of]])))-1),"")</f>
        <v/>
      </c>
      <c r="F32" s="38" t="str">
        <f>IFERROR(INDEX(Totals!$10:$10,_xlfn.AGGREGATE(15,6,COLUMN(Totals!$A$1:$ZZ$1)/((MOD(COLUMN(Totals!$A$1:$ZZ$1)-2,3)=0)*ISNUMBER(Totals!$A$1:$ZZ$1)),(ROW()-ROW(WeeklyLog[[#Headers],[Week Of]])))-1),"")</f>
        <v/>
      </c>
      <c r="G32" s="40" t="str">
        <f>IF(WeeklyLog[[#This Row],[Week Of]]="","",WeeklyLog[[#This Row],[Lakeville Repair Tickets]]+WeeklyLog[[#This Row],[Lakeville PMs]])</f>
        <v/>
      </c>
      <c r="H32" s="40" t="str">
        <f>IF(WeeklyLog[[#This Row],[Week Of]]="","",WeeklyLog[[#This Row],[Burnsville Total]]+WeeklyLog[[#This Row],[Lakeville Total]])</f>
        <v/>
      </c>
      <c r="I32" s="41" t="str">
        <f ca="1">IFERROR(WeeklyLog[[#This Row],[Combined Total]]-OFFSET(WeeklyLog[[#This Row],[Combined Total]],-1,0),"")</f>
        <v/>
      </c>
    </row>
    <row r="33">
      <c r="A33" s="39" t="str">
        <f>IFERROR(INDEX(Totals!$1:$1,_xlfn.AGGREGATE(15,6,COLUMN(Totals!$A$1:$ZZ$1)/((MOD(COLUMN(Totals!$A$1:$ZZ$1)-2,3)=0)*ISNUMBER(Totals!$A$1:$ZZ$1)),(ROW()-ROW(WeeklyLog[[#Headers],[Week Of]])))),"")</f>
        <v/>
      </c>
      <c r="B33" s="38" t="str">
        <f>IFERROR(INDEX(Totals!$4:$4,_xlfn.AGGREGATE(15,6,COLUMN(Totals!$A$1:$ZZ$1)/((MOD(COLUMN(Totals!$A$1:$ZZ$1)-2,3)=0)*ISNUMBER(Totals!$A$1:$ZZ$1)),(ROW()-ROW(WeeklyLog[[#Headers],[Week Of]])))-1),"")</f>
        <v/>
      </c>
      <c r="C33" s="38" t="str">
        <f>IFERROR(INDEX(Totals!$5:$5,_xlfn.AGGREGATE(15,6,COLUMN(Totals!$A$1:$ZZ$1)/((MOD(COLUMN(Totals!$A$1:$ZZ$1)-2,3)=0)*ISNUMBER(Totals!$A$1:$ZZ$1)),(ROW()-ROW(WeeklyLog[[#Headers],[Week Of]])))-1),"")</f>
        <v/>
      </c>
      <c r="D33" s="40" t="str">
        <f>IF(WeeklyLog[[#This Row],[Week Of]]="","",WeeklyLog[[#This Row],[Burnsville Repair Tickets]]+WeeklyLog[[#This Row],[Burnsville PMs]])</f>
        <v/>
      </c>
      <c r="E33" s="38" t="str">
        <f>IFERROR(INDEX(Totals!$9:$9,_xlfn.AGGREGATE(15,6,COLUMN(Totals!$A$1:$ZZ$1)/((MOD(COLUMN(Totals!$A$1:$ZZ$1)-2,3)=0)*ISNUMBER(Totals!$A$1:$ZZ$1)),(ROW()-ROW(WeeklyLog[[#Headers],[Week Of]])))-1),"")</f>
        <v/>
      </c>
      <c r="F33" s="38" t="str">
        <f>IFERROR(INDEX(Totals!$10:$10,_xlfn.AGGREGATE(15,6,COLUMN(Totals!$A$1:$ZZ$1)/((MOD(COLUMN(Totals!$A$1:$ZZ$1)-2,3)=0)*ISNUMBER(Totals!$A$1:$ZZ$1)),(ROW()-ROW(WeeklyLog[[#Headers],[Week Of]])))-1),"")</f>
        <v/>
      </c>
      <c r="G33" s="40" t="str">
        <f>IF(WeeklyLog[[#This Row],[Week Of]]="","",WeeklyLog[[#This Row],[Lakeville Repair Tickets]]+WeeklyLog[[#This Row],[Lakeville PMs]])</f>
        <v/>
      </c>
      <c r="H33" s="40" t="str">
        <f>IF(WeeklyLog[[#This Row],[Week Of]]="","",WeeklyLog[[#This Row],[Burnsville Total]]+WeeklyLog[[#This Row],[Lakeville Total]])</f>
        <v/>
      </c>
      <c r="I33" s="41" t="str">
        <f ca="1">IFERROR(WeeklyLog[[#This Row],[Combined Total]]-OFFSET(WeeklyLog[[#This Row],[Combined Total]],-1,0),"")</f>
        <v/>
      </c>
    </row>
    <row r="34">
      <c r="A34" s="39" t="str">
        <f>IFERROR(INDEX(Totals!$1:$1,_xlfn.AGGREGATE(15,6,COLUMN(Totals!$A$1:$ZZ$1)/((MOD(COLUMN(Totals!$A$1:$ZZ$1)-2,3)=0)*ISNUMBER(Totals!$A$1:$ZZ$1)),(ROW()-ROW(WeeklyLog[[#Headers],[Week Of]])))),"")</f>
        <v/>
      </c>
      <c r="B34" s="38" t="str">
        <f>IFERROR(INDEX(Totals!$4:$4,_xlfn.AGGREGATE(15,6,COLUMN(Totals!$A$1:$ZZ$1)/((MOD(COLUMN(Totals!$A$1:$ZZ$1)-2,3)=0)*ISNUMBER(Totals!$A$1:$ZZ$1)),(ROW()-ROW(WeeklyLog[[#Headers],[Week Of]])))-1),"")</f>
        <v/>
      </c>
      <c r="C34" s="38" t="str">
        <f>IFERROR(INDEX(Totals!$5:$5,_xlfn.AGGREGATE(15,6,COLUMN(Totals!$A$1:$ZZ$1)/((MOD(COLUMN(Totals!$A$1:$ZZ$1)-2,3)=0)*ISNUMBER(Totals!$A$1:$ZZ$1)),(ROW()-ROW(WeeklyLog[[#Headers],[Week Of]])))-1),"")</f>
        <v/>
      </c>
      <c r="D34" s="40" t="str">
        <f>IF(WeeklyLog[[#This Row],[Week Of]]="","",WeeklyLog[[#This Row],[Burnsville Repair Tickets]]+WeeklyLog[[#This Row],[Burnsville PMs]])</f>
        <v/>
      </c>
      <c r="E34" s="38" t="str">
        <f>IFERROR(INDEX(Totals!$9:$9,_xlfn.AGGREGATE(15,6,COLUMN(Totals!$A$1:$ZZ$1)/((MOD(COLUMN(Totals!$A$1:$ZZ$1)-2,3)=0)*ISNUMBER(Totals!$A$1:$ZZ$1)),(ROW()-ROW(WeeklyLog[[#Headers],[Week Of]])))-1),"")</f>
        <v/>
      </c>
      <c r="F34" s="38" t="str">
        <f>IFERROR(INDEX(Totals!$10:$10,_xlfn.AGGREGATE(15,6,COLUMN(Totals!$A$1:$ZZ$1)/((MOD(COLUMN(Totals!$A$1:$ZZ$1)-2,3)=0)*ISNUMBER(Totals!$A$1:$ZZ$1)),(ROW()-ROW(WeeklyLog[[#Headers],[Week Of]])))-1),"")</f>
        <v/>
      </c>
      <c r="G34" s="40" t="str">
        <f>IF(WeeklyLog[[#This Row],[Week Of]]="","",WeeklyLog[[#This Row],[Lakeville Repair Tickets]]+WeeklyLog[[#This Row],[Lakeville PMs]])</f>
        <v/>
      </c>
      <c r="H34" s="40" t="str">
        <f>IF(WeeklyLog[[#This Row],[Week Of]]="","",WeeklyLog[[#This Row],[Burnsville Total]]+WeeklyLog[[#This Row],[Lakeville Total]])</f>
        <v/>
      </c>
      <c r="I34" s="41" t="str">
        <f ca="1">IFERROR(WeeklyLog[[#This Row],[Combined Total]]-OFFSET(WeeklyLog[[#This Row],[Combined Total]],-1,0),"")</f>
        <v/>
      </c>
    </row>
    <row r="35">
      <c r="A35" s="39" t="str">
        <f>IFERROR(INDEX(Totals!$1:$1,_xlfn.AGGREGATE(15,6,COLUMN(Totals!$A$1:$ZZ$1)/((MOD(COLUMN(Totals!$A$1:$ZZ$1)-2,3)=0)*ISNUMBER(Totals!$A$1:$ZZ$1)),(ROW()-ROW(WeeklyLog[[#Headers],[Week Of]])))),"")</f>
        <v/>
      </c>
      <c r="B35" s="38" t="str">
        <f>IFERROR(INDEX(Totals!$4:$4,_xlfn.AGGREGATE(15,6,COLUMN(Totals!$A$1:$ZZ$1)/((MOD(COLUMN(Totals!$A$1:$ZZ$1)-2,3)=0)*ISNUMBER(Totals!$A$1:$ZZ$1)),(ROW()-ROW(WeeklyLog[[#Headers],[Week Of]])))-1),"")</f>
        <v/>
      </c>
      <c r="C35" s="38" t="str">
        <f>IFERROR(INDEX(Totals!$5:$5,_xlfn.AGGREGATE(15,6,COLUMN(Totals!$A$1:$ZZ$1)/((MOD(COLUMN(Totals!$A$1:$ZZ$1)-2,3)=0)*ISNUMBER(Totals!$A$1:$ZZ$1)),(ROW()-ROW(WeeklyLog[[#Headers],[Week Of]])))-1),"")</f>
        <v/>
      </c>
      <c r="D35" s="40" t="str">
        <f>IF(WeeklyLog[[#This Row],[Week Of]]="","",WeeklyLog[[#This Row],[Burnsville Repair Tickets]]+WeeklyLog[[#This Row],[Burnsville PMs]])</f>
        <v/>
      </c>
      <c r="E35" s="38" t="str">
        <f>IFERROR(INDEX(Totals!$9:$9,_xlfn.AGGREGATE(15,6,COLUMN(Totals!$A$1:$ZZ$1)/((MOD(COLUMN(Totals!$A$1:$ZZ$1)-2,3)=0)*ISNUMBER(Totals!$A$1:$ZZ$1)),(ROW()-ROW(WeeklyLog[[#Headers],[Week Of]])))-1),"")</f>
        <v/>
      </c>
      <c r="F35" s="38" t="str">
        <f>IFERROR(INDEX(Totals!$10:$10,_xlfn.AGGREGATE(15,6,COLUMN(Totals!$A$1:$ZZ$1)/((MOD(COLUMN(Totals!$A$1:$ZZ$1)-2,3)=0)*ISNUMBER(Totals!$A$1:$ZZ$1)),(ROW()-ROW(WeeklyLog[[#Headers],[Week Of]])))-1),"")</f>
        <v/>
      </c>
      <c r="G35" s="40" t="str">
        <f>IF(WeeklyLog[[#This Row],[Week Of]]="","",WeeklyLog[[#This Row],[Lakeville Repair Tickets]]+WeeklyLog[[#This Row],[Lakeville PMs]])</f>
        <v/>
      </c>
      <c r="H35" s="40" t="str">
        <f>IF(WeeklyLog[[#This Row],[Week Of]]="","",WeeklyLog[[#This Row],[Burnsville Total]]+WeeklyLog[[#This Row],[Lakeville Total]])</f>
        <v/>
      </c>
      <c r="I35" s="41" t="str">
        <f ca="1">IFERROR(WeeklyLog[[#This Row],[Combined Total]]-OFFSET(WeeklyLog[[#This Row],[Combined Total]],-1,0),"")</f>
        <v/>
      </c>
    </row>
    <row r="36">
      <c r="A36" s="39" t="str">
        <f>IFERROR(INDEX(Totals!$1:$1,_xlfn.AGGREGATE(15,6,COLUMN(Totals!$A$1:$ZZ$1)/((MOD(COLUMN(Totals!$A$1:$ZZ$1)-2,3)=0)*ISNUMBER(Totals!$A$1:$ZZ$1)),(ROW()-ROW(WeeklyLog[[#Headers],[Week Of]])))),"")</f>
        <v/>
      </c>
      <c r="B36" s="38" t="str">
        <f>IFERROR(INDEX(Totals!$4:$4,_xlfn.AGGREGATE(15,6,COLUMN(Totals!$A$1:$ZZ$1)/((MOD(COLUMN(Totals!$A$1:$ZZ$1)-2,3)=0)*ISNUMBER(Totals!$A$1:$ZZ$1)),(ROW()-ROW(WeeklyLog[[#Headers],[Week Of]])))-1),"")</f>
        <v/>
      </c>
      <c r="C36" s="38" t="str">
        <f>IFERROR(INDEX(Totals!$5:$5,_xlfn.AGGREGATE(15,6,COLUMN(Totals!$A$1:$ZZ$1)/((MOD(COLUMN(Totals!$A$1:$ZZ$1)-2,3)=0)*ISNUMBER(Totals!$A$1:$ZZ$1)),(ROW()-ROW(WeeklyLog[[#Headers],[Week Of]])))-1),"")</f>
        <v/>
      </c>
      <c r="D36" s="40" t="str">
        <f>IF(WeeklyLog[[#This Row],[Week Of]]="","",WeeklyLog[[#This Row],[Burnsville Repair Tickets]]+WeeklyLog[[#This Row],[Burnsville PMs]])</f>
        <v/>
      </c>
      <c r="E36" s="38" t="str">
        <f>IFERROR(INDEX(Totals!$9:$9,_xlfn.AGGREGATE(15,6,COLUMN(Totals!$A$1:$ZZ$1)/((MOD(COLUMN(Totals!$A$1:$ZZ$1)-2,3)=0)*ISNUMBER(Totals!$A$1:$ZZ$1)),(ROW()-ROW(WeeklyLog[[#Headers],[Week Of]])))-1),"")</f>
        <v/>
      </c>
      <c r="F36" s="38" t="str">
        <f>IFERROR(INDEX(Totals!$10:$10,_xlfn.AGGREGATE(15,6,COLUMN(Totals!$A$1:$ZZ$1)/((MOD(COLUMN(Totals!$A$1:$ZZ$1)-2,3)=0)*ISNUMBER(Totals!$A$1:$ZZ$1)),(ROW()-ROW(WeeklyLog[[#Headers],[Week Of]])))-1),"")</f>
        <v/>
      </c>
      <c r="G36" s="40" t="str">
        <f>IF(WeeklyLog[[#This Row],[Week Of]]="","",WeeklyLog[[#This Row],[Lakeville Repair Tickets]]+WeeklyLog[[#This Row],[Lakeville PMs]])</f>
        <v/>
      </c>
      <c r="H36" s="40" t="str">
        <f>IF(WeeklyLog[[#This Row],[Week Of]]="","",WeeklyLog[[#This Row],[Burnsville Total]]+WeeklyLog[[#This Row],[Lakeville Total]])</f>
        <v/>
      </c>
      <c r="I36" s="41" t="str">
        <f ca="1">IFERROR(WeeklyLog[[#This Row],[Combined Total]]-OFFSET(WeeklyLog[[#This Row],[Combined Total]],-1,0),"")</f>
        <v/>
      </c>
    </row>
    <row r="37">
      <c r="A37" s="39" t="str">
        <f>IFERROR(INDEX(Totals!$1:$1,_xlfn.AGGREGATE(15,6,COLUMN(Totals!$A$1:$ZZ$1)/((MOD(COLUMN(Totals!$A$1:$ZZ$1)-2,3)=0)*ISNUMBER(Totals!$A$1:$ZZ$1)),(ROW()-ROW(WeeklyLog[[#Headers],[Week Of]])))),"")</f>
        <v/>
      </c>
      <c r="B37" s="38" t="str">
        <f>IFERROR(INDEX(Totals!$4:$4,_xlfn.AGGREGATE(15,6,COLUMN(Totals!$A$1:$ZZ$1)/((MOD(COLUMN(Totals!$A$1:$ZZ$1)-2,3)=0)*ISNUMBER(Totals!$A$1:$ZZ$1)),(ROW()-ROW(WeeklyLog[[#Headers],[Week Of]])))-1),"")</f>
        <v/>
      </c>
      <c r="C37" s="38" t="str">
        <f>IFERROR(INDEX(Totals!$5:$5,_xlfn.AGGREGATE(15,6,COLUMN(Totals!$A$1:$ZZ$1)/((MOD(COLUMN(Totals!$A$1:$ZZ$1)-2,3)=0)*ISNUMBER(Totals!$A$1:$ZZ$1)),(ROW()-ROW(WeeklyLog[[#Headers],[Week Of]])))-1),"")</f>
        <v/>
      </c>
      <c r="D37" s="40" t="str">
        <f>IF(WeeklyLog[[#This Row],[Week Of]]="","",WeeklyLog[[#This Row],[Burnsville Repair Tickets]]+WeeklyLog[[#This Row],[Burnsville PMs]])</f>
        <v/>
      </c>
      <c r="E37" s="38" t="str">
        <f>IFERROR(INDEX(Totals!$9:$9,_xlfn.AGGREGATE(15,6,COLUMN(Totals!$A$1:$ZZ$1)/((MOD(COLUMN(Totals!$A$1:$ZZ$1)-2,3)=0)*ISNUMBER(Totals!$A$1:$ZZ$1)),(ROW()-ROW(WeeklyLog[[#Headers],[Week Of]])))-1),"")</f>
        <v/>
      </c>
      <c r="F37" s="38" t="str">
        <f>IFERROR(INDEX(Totals!$10:$10,_xlfn.AGGREGATE(15,6,COLUMN(Totals!$A$1:$ZZ$1)/((MOD(COLUMN(Totals!$A$1:$ZZ$1)-2,3)=0)*ISNUMBER(Totals!$A$1:$ZZ$1)),(ROW()-ROW(WeeklyLog[[#Headers],[Week Of]])))-1),"")</f>
        <v/>
      </c>
      <c r="G37" s="40" t="str">
        <f>IF(WeeklyLog[[#This Row],[Week Of]]="","",WeeklyLog[[#This Row],[Lakeville Repair Tickets]]+WeeklyLog[[#This Row],[Lakeville PMs]])</f>
        <v/>
      </c>
      <c r="H37" s="40" t="str">
        <f>IF(WeeklyLog[[#This Row],[Week Of]]="","",WeeklyLog[[#This Row],[Burnsville Total]]+WeeklyLog[[#This Row],[Lakeville Total]])</f>
        <v/>
      </c>
      <c r="I37" s="41" t="str">
        <f ca="1">IFERROR(WeeklyLog[[#This Row],[Combined Total]]-OFFSET(WeeklyLog[[#This Row],[Combined Total]],-1,0),"")</f>
        <v/>
      </c>
    </row>
    <row r="38">
      <c r="A38" s="39" t="str">
        <f>IFERROR(INDEX(Totals!$1:$1,_xlfn.AGGREGATE(15,6,COLUMN(Totals!$A$1:$ZZ$1)/((MOD(COLUMN(Totals!$A$1:$ZZ$1)-2,3)=0)*ISNUMBER(Totals!$A$1:$ZZ$1)),(ROW()-ROW(WeeklyLog[[#Headers],[Week Of]])))),"")</f>
        <v/>
      </c>
      <c r="B38" s="38" t="str">
        <f>IFERROR(INDEX(Totals!$4:$4,_xlfn.AGGREGATE(15,6,COLUMN(Totals!$A$1:$ZZ$1)/((MOD(COLUMN(Totals!$A$1:$ZZ$1)-2,3)=0)*ISNUMBER(Totals!$A$1:$ZZ$1)),(ROW()-ROW(WeeklyLog[[#Headers],[Week Of]])))-1),"")</f>
        <v/>
      </c>
      <c r="C38" s="38" t="str">
        <f>IFERROR(INDEX(Totals!$5:$5,_xlfn.AGGREGATE(15,6,COLUMN(Totals!$A$1:$ZZ$1)/((MOD(COLUMN(Totals!$A$1:$ZZ$1)-2,3)=0)*ISNUMBER(Totals!$A$1:$ZZ$1)),(ROW()-ROW(WeeklyLog[[#Headers],[Week Of]])))-1),"")</f>
        <v/>
      </c>
      <c r="D38" s="40" t="str">
        <f>IF(WeeklyLog[[#This Row],[Week Of]]="","",WeeklyLog[[#This Row],[Burnsville Repair Tickets]]+WeeklyLog[[#This Row],[Burnsville PMs]])</f>
        <v/>
      </c>
      <c r="E38" s="38" t="str">
        <f>IFERROR(INDEX(Totals!$9:$9,_xlfn.AGGREGATE(15,6,COLUMN(Totals!$A$1:$ZZ$1)/((MOD(COLUMN(Totals!$A$1:$ZZ$1)-2,3)=0)*ISNUMBER(Totals!$A$1:$ZZ$1)),(ROW()-ROW(WeeklyLog[[#Headers],[Week Of]])))-1),"")</f>
        <v/>
      </c>
      <c r="F38" s="38" t="str">
        <f>IFERROR(INDEX(Totals!$10:$10,_xlfn.AGGREGATE(15,6,COLUMN(Totals!$A$1:$ZZ$1)/((MOD(COLUMN(Totals!$A$1:$ZZ$1)-2,3)=0)*ISNUMBER(Totals!$A$1:$ZZ$1)),(ROW()-ROW(WeeklyLog[[#Headers],[Week Of]])))-1),"")</f>
        <v/>
      </c>
      <c r="G38" s="40" t="str">
        <f>IF(WeeklyLog[[#This Row],[Week Of]]="","",WeeklyLog[[#This Row],[Lakeville Repair Tickets]]+WeeklyLog[[#This Row],[Lakeville PMs]])</f>
        <v/>
      </c>
      <c r="H38" s="40" t="str">
        <f>IF(WeeklyLog[[#This Row],[Week Of]]="","",WeeklyLog[[#This Row],[Burnsville Total]]+WeeklyLog[[#This Row],[Lakeville Total]])</f>
        <v/>
      </c>
      <c r="I38" s="41" t="str">
        <f ca="1">IFERROR(WeeklyLog[[#This Row],[Combined Total]]-OFFSET(WeeklyLog[[#This Row],[Combined Total]],-1,0),"")</f>
        <v/>
      </c>
    </row>
    <row r="39">
      <c r="A39" s="39" t="str">
        <f>IFERROR(INDEX(Totals!$1:$1,_xlfn.AGGREGATE(15,6,COLUMN(Totals!$A$1:$ZZ$1)/((MOD(COLUMN(Totals!$A$1:$ZZ$1)-2,3)=0)*ISNUMBER(Totals!$A$1:$ZZ$1)),(ROW()-ROW(WeeklyLog[[#Headers],[Week Of]])))),"")</f>
        <v/>
      </c>
      <c r="B39" s="38" t="str">
        <f>IFERROR(INDEX(Totals!$4:$4,_xlfn.AGGREGATE(15,6,COLUMN(Totals!$A$1:$ZZ$1)/((MOD(COLUMN(Totals!$A$1:$ZZ$1)-2,3)=0)*ISNUMBER(Totals!$A$1:$ZZ$1)),(ROW()-ROW(WeeklyLog[[#Headers],[Week Of]])))-1),"")</f>
        <v/>
      </c>
      <c r="C39" s="38" t="str">
        <f>IFERROR(INDEX(Totals!$5:$5,_xlfn.AGGREGATE(15,6,COLUMN(Totals!$A$1:$ZZ$1)/((MOD(COLUMN(Totals!$A$1:$ZZ$1)-2,3)=0)*ISNUMBER(Totals!$A$1:$ZZ$1)),(ROW()-ROW(WeeklyLog[[#Headers],[Week Of]])))-1),"")</f>
        <v/>
      </c>
      <c r="D39" s="40" t="str">
        <f>IF(WeeklyLog[[#This Row],[Week Of]]="","",WeeklyLog[[#This Row],[Burnsville Repair Tickets]]+WeeklyLog[[#This Row],[Burnsville PMs]])</f>
        <v/>
      </c>
      <c r="E39" s="38" t="str">
        <f>IFERROR(INDEX(Totals!$9:$9,_xlfn.AGGREGATE(15,6,COLUMN(Totals!$A$1:$ZZ$1)/((MOD(COLUMN(Totals!$A$1:$ZZ$1)-2,3)=0)*ISNUMBER(Totals!$A$1:$ZZ$1)),(ROW()-ROW(WeeklyLog[[#Headers],[Week Of]])))-1),"")</f>
        <v/>
      </c>
      <c r="F39" s="38" t="str">
        <f>IFERROR(INDEX(Totals!$10:$10,_xlfn.AGGREGATE(15,6,COLUMN(Totals!$A$1:$ZZ$1)/((MOD(COLUMN(Totals!$A$1:$ZZ$1)-2,3)=0)*ISNUMBER(Totals!$A$1:$ZZ$1)),(ROW()-ROW(WeeklyLog[[#Headers],[Week Of]])))-1),"")</f>
        <v/>
      </c>
      <c r="G39" s="40" t="str">
        <f>IF(WeeklyLog[[#This Row],[Week Of]]="","",WeeklyLog[[#This Row],[Lakeville Repair Tickets]]+WeeklyLog[[#This Row],[Lakeville PMs]])</f>
        <v/>
      </c>
      <c r="H39" s="40" t="str">
        <f>IF(WeeklyLog[[#This Row],[Week Of]]="","",WeeklyLog[[#This Row],[Burnsville Total]]+WeeklyLog[[#This Row],[Lakeville Total]])</f>
        <v/>
      </c>
      <c r="I39" s="41" t="str">
        <f ca="1">IFERROR(WeeklyLog[[#This Row],[Combined Total]]-OFFSET(WeeklyLog[[#This Row],[Combined Total]],-1,0),"")</f>
        <v/>
      </c>
    </row>
    <row r="40">
      <c r="A40" s="39" t="str">
        <f>IFERROR(INDEX(Totals!$1:$1,_xlfn.AGGREGATE(15,6,COLUMN(Totals!$A$1:$ZZ$1)/((MOD(COLUMN(Totals!$A$1:$ZZ$1)-2,3)=0)*ISNUMBER(Totals!$A$1:$ZZ$1)),(ROW()-ROW(WeeklyLog[[#Headers],[Week Of]])))),"")</f>
        <v/>
      </c>
      <c r="B40" s="38" t="str">
        <f>IFERROR(INDEX(Totals!$4:$4,_xlfn.AGGREGATE(15,6,COLUMN(Totals!$A$1:$ZZ$1)/((MOD(COLUMN(Totals!$A$1:$ZZ$1)-2,3)=0)*ISNUMBER(Totals!$A$1:$ZZ$1)),(ROW()-ROW(WeeklyLog[[#Headers],[Week Of]])))-1),"")</f>
        <v/>
      </c>
      <c r="C40" s="38" t="str">
        <f>IFERROR(INDEX(Totals!$5:$5,_xlfn.AGGREGATE(15,6,COLUMN(Totals!$A$1:$ZZ$1)/((MOD(COLUMN(Totals!$A$1:$ZZ$1)-2,3)=0)*ISNUMBER(Totals!$A$1:$ZZ$1)),(ROW()-ROW(WeeklyLog[[#Headers],[Week Of]])))-1),"")</f>
        <v/>
      </c>
      <c r="D40" s="40" t="str">
        <f>IF(WeeklyLog[[#This Row],[Week Of]]="","",WeeklyLog[[#This Row],[Burnsville Repair Tickets]]+WeeklyLog[[#This Row],[Burnsville PMs]])</f>
        <v/>
      </c>
      <c r="E40" s="38" t="str">
        <f>IFERROR(INDEX(Totals!$9:$9,_xlfn.AGGREGATE(15,6,COLUMN(Totals!$A$1:$ZZ$1)/((MOD(COLUMN(Totals!$A$1:$ZZ$1)-2,3)=0)*ISNUMBER(Totals!$A$1:$ZZ$1)),(ROW()-ROW(WeeklyLog[[#Headers],[Week Of]])))-1),"")</f>
        <v/>
      </c>
      <c r="F40" s="38" t="str">
        <f>IFERROR(INDEX(Totals!$10:$10,_xlfn.AGGREGATE(15,6,COLUMN(Totals!$A$1:$ZZ$1)/((MOD(COLUMN(Totals!$A$1:$ZZ$1)-2,3)=0)*ISNUMBER(Totals!$A$1:$ZZ$1)),(ROW()-ROW(WeeklyLog[[#Headers],[Week Of]])))-1),"")</f>
        <v/>
      </c>
      <c r="G40" s="40" t="str">
        <f>IF(WeeklyLog[[#This Row],[Week Of]]="","",WeeklyLog[[#This Row],[Lakeville Repair Tickets]]+WeeklyLog[[#This Row],[Lakeville PMs]])</f>
        <v/>
      </c>
      <c r="H40" s="40" t="str">
        <f>IF(WeeklyLog[[#This Row],[Week Of]]="","",WeeklyLog[[#This Row],[Burnsville Total]]+WeeklyLog[[#This Row],[Lakeville Total]])</f>
        <v/>
      </c>
      <c r="I40" s="41" t="str">
        <f ca="1">IFERROR(WeeklyLog[[#This Row],[Combined Total]]-OFFSET(WeeklyLog[[#This Row],[Combined Total]],-1,0),"")</f>
        <v/>
      </c>
    </row>
    <row r="41">
      <c r="A41" s="39" t="str">
        <f>IFERROR(INDEX(Totals!$1:$1,_xlfn.AGGREGATE(15,6,COLUMN(Totals!$A$1:$ZZ$1)/((MOD(COLUMN(Totals!$A$1:$ZZ$1)-2,3)=0)*ISNUMBER(Totals!$A$1:$ZZ$1)),(ROW()-ROW(WeeklyLog[[#Headers],[Week Of]])))),"")</f>
        <v/>
      </c>
      <c r="B41" s="38" t="str">
        <f>IFERROR(INDEX(Totals!$4:$4,_xlfn.AGGREGATE(15,6,COLUMN(Totals!$A$1:$ZZ$1)/((MOD(COLUMN(Totals!$A$1:$ZZ$1)-2,3)=0)*ISNUMBER(Totals!$A$1:$ZZ$1)),(ROW()-ROW(WeeklyLog[[#Headers],[Week Of]])))-1),"")</f>
        <v/>
      </c>
      <c r="C41" s="38" t="str">
        <f>IFERROR(INDEX(Totals!$5:$5,_xlfn.AGGREGATE(15,6,COLUMN(Totals!$A$1:$ZZ$1)/((MOD(COLUMN(Totals!$A$1:$ZZ$1)-2,3)=0)*ISNUMBER(Totals!$A$1:$ZZ$1)),(ROW()-ROW(WeeklyLog[[#Headers],[Week Of]])))-1),"")</f>
        <v/>
      </c>
      <c r="D41" s="40" t="str">
        <f>IF(WeeklyLog[[#This Row],[Week Of]]="","",WeeklyLog[[#This Row],[Burnsville Repair Tickets]]+WeeklyLog[[#This Row],[Burnsville PMs]])</f>
        <v/>
      </c>
      <c r="E41" s="38" t="str">
        <f>IFERROR(INDEX(Totals!$9:$9,_xlfn.AGGREGATE(15,6,COLUMN(Totals!$A$1:$ZZ$1)/((MOD(COLUMN(Totals!$A$1:$ZZ$1)-2,3)=0)*ISNUMBER(Totals!$A$1:$ZZ$1)),(ROW()-ROW(WeeklyLog[[#Headers],[Week Of]])))-1),"")</f>
        <v/>
      </c>
      <c r="F41" s="38" t="str">
        <f>IFERROR(INDEX(Totals!$10:$10,_xlfn.AGGREGATE(15,6,COLUMN(Totals!$A$1:$ZZ$1)/((MOD(COLUMN(Totals!$A$1:$ZZ$1)-2,3)=0)*ISNUMBER(Totals!$A$1:$ZZ$1)),(ROW()-ROW(WeeklyLog[[#Headers],[Week Of]])))-1),"")</f>
        <v/>
      </c>
      <c r="G41" s="40" t="str">
        <f>IF(WeeklyLog[[#This Row],[Week Of]]="","",WeeklyLog[[#This Row],[Lakeville Repair Tickets]]+WeeklyLog[[#This Row],[Lakeville PMs]])</f>
        <v/>
      </c>
      <c r="H41" s="40" t="str">
        <f>IF(WeeklyLog[[#This Row],[Week Of]]="","",WeeklyLog[[#This Row],[Burnsville Total]]+WeeklyLog[[#This Row],[Lakeville Total]])</f>
        <v/>
      </c>
      <c r="I41" s="41" t="str">
        <f ca="1">IFERROR(WeeklyLog[[#This Row],[Combined Total]]-OFFSET(WeeklyLog[[#This Row],[Combined Total]],-1,0),"")</f>
        <v/>
      </c>
    </row>
    <row r="42">
      <c r="A42" s="39" t="str">
        <f>IFERROR(INDEX(Totals!$1:$1,_xlfn.AGGREGATE(15,6,COLUMN(Totals!$A$1:$ZZ$1)/((MOD(COLUMN(Totals!$A$1:$ZZ$1)-2,3)=0)*ISNUMBER(Totals!$A$1:$ZZ$1)),(ROW()-ROW(WeeklyLog[[#Headers],[Week Of]])))),"")</f>
        <v/>
      </c>
      <c r="B42" s="38" t="str">
        <f>IFERROR(INDEX(Totals!$4:$4,_xlfn.AGGREGATE(15,6,COLUMN(Totals!$A$1:$ZZ$1)/((MOD(COLUMN(Totals!$A$1:$ZZ$1)-2,3)=0)*ISNUMBER(Totals!$A$1:$ZZ$1)),(ROW()-ROW(WeeklyLog[[#Headers],[Week Of]])))-1),"")</f>
        <v/>
      </c>
      <c r="C42" s="38" t="str">
        <f>IFERROR(INDEX(Totals!$5:$5,_xlfn.AGGREGATE(15,6,COLUMN(Totals!$A$1:$ZZ$1)/((MOD(COLUMN(Totals!$A$1:$ZZ$1)-2,3)=0)*ISNUMBER(Totals!$A$1:$ZZ$1)),(ROW()-ROW(WeeklyLog[[#Headers],[Week Of]])))-1),"")</f>
        <v/>
      </c>
      <c r="D42" s="40" t="str">
        <f>IF(WeeklyLog[[#This Row],[Week Of]]="","",WeeklyLog[[#This Row],[Burnsville Repair Tickets]]+WeeklyLog[[#This Row],[Burnsville PMs]])</f>
        <v/>
      </c>
      <c r="E42" s="38" t="str">
        <f>IFERROR(INDEX(Totals!$9:$9,_xlfn.AGGREGATE(15,6,COLUMN(Totals!$A$1:$ZZ$1)/((MOD(COLUMN(Totals!$A$1:$ZZ$1)-2,3)=0)*ISNUMBER(Totals!$A$1:$ZZ$1)),(ROW()-ROW(WeeklyLog[[#Headers],[Week Of]])))-1),"")</f>
        <v/>
      </c>
      <c r="F42" s="38" t="str">
        <f>IFERROR(INDEX(Totals!$10:$10,_xlfn.AGGREGATE(15,6,COLUMN(Totals!$A$1:$ZZ$1)/((MOD(COLUMN(Totals!$A$1:$ZZ$1)-2,3)=0)*ISNUMBER(Totals!$A$1:$ZZ$1)),(ROW()-ROW(WeeklyLog[[#Headers],[Week Of]])))-1),"")</f>
        <v/>
      </c>
      <c r="G42" s="40" t="str">
        <f>IF(WeeklyLog[[#This Row],[Week Of]]="","",WeeklyLog[[#This Row],[Lakeville Repair Tickets]]+WeeklyLog[[#This Row],[Lakeville PMs]])</f>
        <v/>
      </c>
      <c r="H42" s="40" t="str">
        <f>IF(WeeklyLog[[#This Row],[Week Of]]="","",WeeklyLog[[#This Row],[Burnsville Total]]+WeeklyLog[[#This Row],[Lakeville Total]])</f>
        <v/>
      </c>
      <c r="I42" s="41" t="str">
        <f ca="1">IFERROR(WeeklyLog[[#This Row],[Combined Total]]-OFFSET(WeeklyLog[[#This Row],[Combined Total]],-1,0),"")</f>
        <v/>
      </c>
    </row>
    <row r="43">
      <c r="A43" s="39" t="str">
        <f>IFERROR(INDEX(Totals!$1:$1,_xlfn.AGGREGATE(15,6,COLUMN(Totals!$A$1:$ZZ$1)/((MOD(COLUMN(Totals!$A$1:$ZZ$1)-2,3)=0)*ISNUMBER(Totals!$A$1:$ZZ$1)),(ROW()-ROW(WeeklyLog[[#Headers],[Week Of]])))),"")</f>
        <v/>
      </c>
      <c r="B43" s="38" t="str">
        <f>IFERROR(INDEX(Totals!$4:$4,_xlfn.AGGREGATE(15,6,COLUMN(Totals!$A$1:$ZZ$1)/((MOD(COLUMN(Totals!$A$1:$ZZ$1)-2,3)=0)*ISNUMBER(Totals!$A$1:$ZZ$1)),(ROW()-ROW(WeeklyLog[[#Headers],[Week Of]])))-1),"")</f>
        <v/>
      </c>
      <c r="C43" s="38" t="str">
        <f>IFERROR(INDEX(Totals!$5:$5,_xlfn.AGGREGATE(15,6,COLUMN(Totals!$A$1:$ZZ$1)/((MOD(COLUMN(Totals!$A$1:$ZZ$1)-2,3)=0)*ISNUMBER(Totals!$A$1:$ZZ$1)),(ROW()-ROW(WeeklyLog[[#Headers],[Week Of]])))-1),"")</f>
        <v/>
      </c>
      <c r="D43" s="40" t="str">
        <f>IF(WeeklyLog[[#This Row],[Week Of]]="","",WeeklyLog[[#This Row],[Burnsville Repair Tickets]]+WeeklyLog[[#This Row],[Burnsville PMs]])</f>
        <v/>
      </c>
      <c r="E43" s="38" t="str">
        <f>IFERROR(INDEX(Totals!$9:$9,_xlfn.AGGREGATE(15,6,COLUMN(Totals!$A$1:$ZZ$1)/((MOD(COLUMN(Totals!$A$1:$ZZ$1)-2,3)=0)*ISNUMBER(Totals!$A$1:$ZZ$1)),(ROW()-ROW(WeeklyLog[[#Headers],[Week Of]])))-1),"")</f>
        <v/>
      </c>
      <c r="F43" s="38" t="str">
        <f>IFERROR(INDEX(Totals!$10:$10,_xlfn.AGGREGATE(15,6,COLUMN(Totals!$A$1:$ZZ$1)/((MOD(COLUMN(Totals!$A$1:$ZZ$1)-2,3)=0)*ISNUMBER(Totals!$A$1:$ZZ$1)),(ROW()-ROW(WeeklyLog[[#Headers],[Week Of]])))-1),"")</f>
        <v/>
      </c>
      <c r="G43" s="40" t="str">
        <f>IF(WeeklyLog[[#This Row],[Week Of]]="","",WeeklyLog[[#This Row],[Lakeville Repair Tickets]]+WeeklyLog[[#This Row],[Lakeville PMs]])</f>
        <v/>
      </c>
      <c r="H43" s="40" t="str">
        <f>IF(WeeklyLog[[#This Row],[Week Of]]="","",WeeklyLog[[#This Row],[Burnsville Total]]+WeeklyLog[[#This Row],[Lakeville Total]])</f>
        <v/>
      </c>
      <c r="I43" s="41" t="str">
        <f ca="1">IFERROR(WeeklyLog[[#This Row],[Combined Total]]-OFFSET(WeeklyLog[[#This Row],[Combined Total]],-1,0),"")</f>
        <v/>
      </c>
    </row>
    <row r="44">
      <c r="A44" s="39" t="str">
        <f>IFERROR(INDEX(Totals!$1:$1,_xlfn.AGGREGATE(15,6,COLUMN(Totals!$A$1:$ZZ$1)/((MOD(COLUMN(Totals!$A$1:$ZZ$1)-2,3)=0)*ISNUMBER(Totals!$A$1:$ZZ$1)),(ROW()-ROW(WeeklyLog[[#Headers],[Week Of]])))),"")</f>
        <v/>
      </c>
      <c r="B44" s="38" t="str">
        <f>IFERROR(INDEX(Totals!$4:$4,_xlfn.AGGREGATE(15,6,COLUMN(Totals!$A$1:$ZZ$1)/((MOD(COLUMN(Totals!$A$1:$ZZ$1)-2,3)=0)*ISNUMBER(Totals!$A$1:$ZZ$1)),(ROW()-ROW(WeeklyLog[[#Headers],[Week Of]])))-1),"")</f>
        <v/>
      </c>
      <c r="C44" s="38" t="str">
        <f>IFERROR(INDEX(Totals!$5:$5,_xlfn.AGGREGATE(15,6,COLUMN(Totals!$A$1:$ZZ$1)/((MOD(COLUMN(Totals!$A$1:$ZZ$1)-2,3)=0)*ISNUMBER(Totals!$A$1:$ZZ$1)),(ROW()-ROW(WeeklyLog[[#Headers],[Week Of]])))-1),"")</f>
        <v/>
      </c>
      <c r="D44" s="40" t="str">
        <f>IF(WeeklyLog[[#This Row],[Week Of]]="","",WeeklyLog[[#This Row],[Burnsville Repair Tickets]]+WeeklyLog[[#This Row],[Burnsville PMs]])</f>
        <v/>
      </c>
      <c r="E44" s="38" t="str">
        <f>IFERROR(INDEX(Totals!$9:$9,_xlfn.AGGREGATE(15,6,COLUMN(Totals!$A$1:$ZZ$1)/((MOD(COLUMN(Totals!$A$1:$ZZ$1)-2,3)=0)*ISNUMBER(Totals!$A$1:$ZZ$1)),(ROW()-ROW(WeeklyLog[[#Headers],[Week Of]])))-1),"")</f>
        <v/>
      </c>
      <c r="F44" s="38" t="str">
        <f>IFERROR(INDEX(Totals!$10:$10,_xlfn.AGGREGATE(15,6,COLUMN(Totals!$A$1:$ZZ$1)/((MOD(COLUMN(Totals!$A$1:$ZZ$1)-2,3)=0)*ISNUMBER(Totals!$A$1:$ZZ$1)),(ROW()-ROW(WeeklyLog[[#Headers],[Week Of]])))-1),"")</f>
        <v/>
      </c>
      <c r="G44" s="40" t="str">
        <f>IF(WeeklyLog[[#This Row],[Week Of]]="","",WeeklyLog[[#This Row],[Lakeville Repair Tickets]]+WeeklyLog[[#This Row],[Lakeville PMs]])</f>
        <v/>
      </c>
      <c r="H44" s="40" t="str">
        <f>IF(WeeklyLog[[#This Row],[Week Of]]="","",WeeklyLog[[#This Row],[Burnsville Total]]+WeeklyLog[[#This Row],[Lakeville Total]])</f>
        <v/>
      </c>
      <c r="I44" s="41" t="str">
        <f ca="1">IFERROR(WeeklyLog[[#This Row],[Combined Total]]-OFFSET(WeeklyLog[[#This Row],[Combined Total]],-1,0),"")</f>
        <v/>
      </c>
    </row>
    <row r="45">
      <c r="A45" s="39" t="str">
        <f>IFERROR(INDEX(Totals!$1:$1,_xlfn.AGGREGATE(15,6,COLUMN(Totals!$A$1:$ZZ$1)/((MOD(COLUMN(Totals!$A$1:$ZZ$1)-2,3)=0)*ISNUMBER(Totals!$A$1:$ZZ$1)),(ROW()-ROW(WeeklyLog[[#Headers],[Week Of]])))),"")</f>
        <v/>
      </c>
      <c r="B45" s="38" t="str">
        <f>IFERROR(INDEX(Totals!$4:$4,_xlfn.AGGREGATE(15,6,COLUMN(Totals!$A$1:$ZZ$1)/((MOD(COLUMN(Totals!$A$1:$ZZ$1)-2,3)=0)*ISNUMBER(Totals!$A$1:$ZZ$1)),(ROW()-ROW(WeeklyLog[[#Headers],[Week Of]])))-1),"")</f>
        <v/>
      </c>
      <c r="C45" s="38" t="str">
        <f>IFERROR(INDEX(Totals!$5:$5,_xlfn.AGGREGATE(15,6,COLUMN(Totals!$A$1:$ZZ$1)/((MOD(COLUMN(Totals!$A$1:$ZZ$1)-2,3)=0)*ISNUMBER(Totals!$A$1:$ZZ$1)),(ROW()-ROW(WeeklyLog[[#Headers],[Week Of]])))-1),"")</f>
        <v/>
      </c>
      <c r="D45" s="40" t="str">
        <f>IF(WeeklyLog[[#This Row],[Week Of]]="","",WeeklyLog[[#This Row],[Burnsville Repair Tickets]]+WeeklyLog[[#This Row],[Burnsville PMs]])</f>
        <v/>
      </c>
      <c r="E45" s="38" t="str">
        <f>IFERROR(INDEX(Totals!$9:$9,_xlfn.AGGREGATE(15,6,COLUMN(Totals!$A$1:$ZZ$1)/((MOD(COLUMN(Totals!$A$1:$ZZ$1)-2,3)=0)*ISNUMBER(Totals!$A$1:$ZZ$1)),(ROW()-ROW(WeeklyLog[[#Headers],[Week Of]])))-1),"")</f>
        <v/>
      </c>
      <c r="F45" s="38" t="str">
        <f>IFERROR(INDEX(Totals!$10:$10,_xlfn.AGGREGATE(15,6,COLUMN(Totals!$A$1:$ZZ$1)/((MOD(COLUMN(Totals!$A$1:$ZZ$1)-2,3)=0)*ISNUMBER(Totals!$A$1:$ZZ$1)),(ROW()-ROW(WeeklyLog[[#Headers],[Week Of]])))-1),"")</f>
        <v/>
      </c>
      <c r="G45" s="40" t="str">
        <f>IF(WeeklyLog[[#This Row],[Week Of]]="","",WeeklyLog[[#This Row],[Lakeville Repair Tickets]]+WeeklyLog[[#This Row],[Lakeville PMs]])</f>
        <v/>
      </c>
      <c r="H45" s="40" t="str">
        <f>IF(WeeklyLog[[#This Row],[Week Of]]="","",WeeklyLog[[#This Row],[Burnsville Total]]+WeeklyLog[[#This Row],[Lakeville Total]])</f>
        <v/>
      </c>
      <c r="I45" s="41" t="str">
        <f ca="1">IFERROR(WeeklyLog[[#This Row],[Combined Total]]-OFFSET(WeeklyLog[[#This Row],[Combined Total]],-1,0),"")</f>
        <v/>
      </c>
    </row>
    <row r="46">
      <c r="A46" s="39" t="str">
        <f>IFERROR(INDEX(Totals!$1:$1,_xlfn.AGGREGATE(15,6,COLUMN(Totals!$A$1:$ZZ$1)/((MOD(COLUMN(Totals!$A$1:$ZZ$1)-2,3)=0)*ISNUMBER(Totals!$A$1:$ZZ$1)),(ROW()-ROW(WeeklyLog[[#Headers],[Week Of]])))),"")</f>
        <v/>
      </c>
      <c r="B46" s="38" t="str">
        <f>IFERROR(INDEX(Totals!$4:$4,_xlfn.AGGREGATE(15,6,COLUMN(Totals!$A$1:$ZZ$1)/((MOD(COLUMN(Totals!$A$1:$ZZ$1)-2,3)=0)*ISNUMBER(Totals!$A$1:$ZZ$1)),(ROW()-ROW(WeeklyLog[[#Headers],[Week Of]])))-1),"")</f>
        <v/>
      </c>
      <c r="C46" s="38" t="str">
        <f>IFERROR(INDEX(Totals!$5:$5,_xlfn.AGGREGATE(15,6,COLUMN(Totals!$A$1:$ZZ$1)/((MOD(COLUMN(Totals!$A$1:$ZZ$1)-2,3)=0)*ISNUMBER(Totals!$A$1:$ZZ$1)),(ROW()-ROW(WeeklyLog[[#Headers],[Week Of]])))-1),"")</f>
        <v/>
      </c>
      <c r="D46" s="40" t="str">
        <f>IF(WeeklyLog[[#This Row],[Week Of]]="","",WeeklyLog[[#This Row],[Burnsville Repair Tickets]]+WeeklyLog[[#This Row],[Burnsville PMs]])</f>
        <v/>
      </c>
      <c r="E46" s="38" t="str">
        <f>IFERROR(INDEX(Totals!$9:$9,_xlfn.AGGREGATE(15,6,COLUMN(Totals!$A$1:$ZZ$1)/((MOD(COLUMN(Totals!$A$1:$ZZ$1)-2,3)=0)*ISNUMBER(Totals!$A$1:$ZZ$1)),(ROW()-ROW(WeeklyLog[[#Headers],[Week Of]])))-1),"")</f>
        <v/>
      </c>
      <c r="F46" s="38" t="str">
        <f>IFERROR(INDEX(Totals!$10:$10,_xlfn.AGGREGATE(15,6,COLUMN(Totals!$A$1:$ZZ$1)/((MOD(COLUMN(Totals!$A$1:$ZZ$1)-2,3)=0)*ISNUMBER(Totals!$A$1:$ZZ$1)),(ROW()-ROW(WeeklyLog[[#Headers],[Week Of]])))-1),"")</f>
        <v/>
      </c>
      <c r="G46" s="40" t="str">
        <f>IF(WeeklyLog[[#This Row],[Week Of]]="","",WeeklyLog[[#This Row],[Lakeville Repair Tickets]]+WeeklyLog[[#This Row],[Lakeville PMs]])</f>
        <v/>
      </c>
      <c r="H46" s="40" t="str">
        <f>IF(WeeklyLog[[#This Row],[Week Of]]="","",WeeklyLog[[#This Row],[Burnsville Total]]+WeeklyLog[[#This Row],[Lakeville Total]])</f>
        <v/>
      </c>
      <c r="I46" s="41" t="str">
        <f ca="1">IFERROR(WeeklyLog[[#This Row],[Combined Total]]-OFFSET(WeeklyLog[[#This Row],[Combined Total]],-1,0),"")</f>
        <v/>
      </c>
    </row>
    <row r="47">
      <c r="A47" s="39" t="str">
        <f>IFERROR(INDEX(Totals!$1:$1,_xlfn.AGGREGATE(15,6,COLUMN(Totals!$A$1:$ZZ$1)/((MOD(COLUMN(Totals!$A$1:$ZZ$1)-2,3)=0)*ISNUMBER(Totals!$A$1:$ZZ$1)),(ROW()-ROW(WeeklyLog[[#Headers],[Week Of]])))),"")</f>
        <v/>
      </c>
      <c r="B47" s="38" t="str">
        <f>IFERROR(INDEX(Totals!$4:$4,_xlfn.AGGREGATE(15,6,COLUMN(Totals!$A$1:$ZZ$1)/((MOD(COLUMN(Totals!$A$1:$ZZ$1)-2,3)=0)*ISNUMBER(Totals!$A$1:$ZZ$1)),(ROW()-ROW(WeeklyLog[[#Headers],[Week Of]])))-1),"")</f>
        <v/>
      </c>
      <c r="C47" s="38" t="str">
        <f>IFERROR(INDEX(Totals!$5:$5,_xlfn.AGGREGATE(15,6,COLUMN(Totals!$A$1:$ZZ$1)/((MOD(COLUMN(Totals!$A$1:$ZZ$1)-2,3)=0)*ISNUMBER(Totals!$A$1:$ZZ$1)),(ROW()-ROW(WeeklyLog[[#Headers],[Week Of]])))-1),"")</f>
        <v/>
      </c>
      <c r="D47" s="40" t="str">
        <f>IF(WeeklyLog[[#This Row],[Week Of]]="","",WeeklyLog[[#This Row],[Burnsville Repair Tickets]]+WeeklyLog[[#This Row],[Burnsville PMs]])</f>
        <v/>
      </c>
      <c r="E47" s="38" t="str">
        <f>IFERROR(INDEX(Totals!$9:$9,_xlfn.AGGREGATE(15,6,COLUMN(Totals!$A$1:$ZZ$1)/((MOD(COLUMN(Totals!$A$1:$ZZ$1)-2,3)=0)*ISNUMBER(Totals!$A$1:$ZZ$1)),(ROW()-ROW(WeeklyLog[[#Headers],[Week Of]])))-1),"")</f>
        <v/>
      </c>
      <c r="F47" s="38" t="str">
        <f>IFERROR(INDEX(Totals!$10:$10,_xlfn.AGGREGATE(15,6,COLUMN(Totals!$A$1:$ZZ$1)/((MOD(COLUMN(Totals!$A$1:$ZZ$1)-2,3)=0)*ISNUMBER(Totals!$A$1:$ZZ$1)),(ROW()-ROW(WeeklyLog[[#Headers],[Week Of]])))-1),"")</f>
        <v/>
      </c>
      <c r="G47" s="40" t="str">
        <f>IF(WeeklyLog[[#This Row],[Week Of]]="","",WeeklyLog[[#This Row],[Lakeville Repair Tickets]]+WeeklyLog[[#This Row],[Lakeville PMs]])</f>
        <v/>
      </c>
      <c r="H47" s="40" t="str">
        <f>IF(WeeklyLog[[#This Row],[Week Of]]="","",WeeklyLog[[#This Row],[Burnsville Total]]+WeeklyLog[[#This Row],[Lakeville Total]])</f>
        <v/>
      </c>
      <c r="I47" s="41" t="str">
        <f ca="1">IFERROR(WeeklyLog[[#This Row],[Combined Total]]-OFFSET(WeeklyLog[[#This Row],[Combined Total]],-1,0),"")</f>
        <v/>
      </c>
    </row>
  </sheetData>
  <conditionalFormatting sqref="I22:I1000">
    <cfRule type="expression" dxfId="12" priority="1" stopIfTrue="1">
      <formula>AND(ISNUMBER(I22),I22&gt;0)</formula>
    </cfRule>
    <cfRule type="expression" dxfId="11" priority="2" stopIfTrue="1">
      <formula>AND(ISNUMBER(I22),I22&lt;0)</formula>
    </cfRule>
  </conditionalFormatting>
  <printOptions horizontalCentered="1"/>
  <pageMargins left="0.7" right="0.7" top="0.75" bottom="0.75" header="0.3" footer="0.3"/>
  <pageSetup scale="77" fitToHeight="0" orientation="landscape" r:id="rId1"/>
  <drawing r:id="rId2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02036B19-3590-4F2A-9514-5DD87AFCDB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Totals</vt:lpstr>
      <vt:lpstr>Sheet1!chart_BV</vt:lpstr>
      <vt:lpstr>Sheet1!chart_CO</vt:lpstr>
      <vt:lpstr>Sheet1!chart_LV</vt:lpstr>
      <vt:lpstr>Sheet1!chart_Week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Kristine Michael</dc:creator>
  <cp:keywords/>
  <dc:description/>
  <cp:lastModifiedBy>Jonathan Weber</cp:lastModifiedBy>
  <cp:revision/>
  <cp:lastPrinted>2026-09-21T22:34:11Z</cp:lastPrinted>
  <dcterms:created xsi:type="dcterms:W3CDTF">2022-03-30T13:23:41Z</dcterms:created>
  <dcterms:modified xsi:type="dcterms:W3CDTF">2026-09-21T22:35:46Z</dcterms:modified>
  <cp:category/>
  <cp:contentStatus/>
</cp:coreProperties>
</file>